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NT18093\Documents\van_vu\ca nhan\code\"/>
    </mc:Choice>
  </mc:AlternateContent>
  <bookViews>
    <workbookView xWindow="0" yWindow="0" windowWidth="23040" windowHeight="8580" activeTab="3"/>
  </bookViews>
  <sheets>
    <sheet name="確認結果" sheetId="3" r:id="rId1"/>
    <sheet name="2020.10.21" sheetId="27" r:id="rId2"/>
    <sheet name="2020.10.28" sheetId="28" r:id="rId3"/>
    <sheet name="Sheet1" sheetId="29" r:id="rId4"/>
  </sheets>
  <functionGroups builtInGroupCount="18"/>
  <definedNames>
    <definedName name="_xlnm._FilterDatabase" localSheetId="1" hidden="1">'2020.10.21'!$G$2:$J$2</definedName>
    <definedName name="_xlnm._FilterDatabase" localSheetId="0" hidden="1">確認結果!$B$4:$R$48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3" l="1"/>
  <c r="N7" i="3"/>
  <c r="O7" i="3"/>
  <c r="P7" i="3"/>
  <c r="M8" i="3"/>
  <c r="N8" i="3"/>
  <c r="O8" i="3"/>
  <c r="P8" i="3"/>
  <c r="M9" i="3"/>
  <c r="N9" i="3"/>
  <c r="O9" i="3"/>
  <c r="P9" i="3"/>
  <c r="M10" i="3"/>
  <c r="N10" i="3"/>
  <c r="O10" i="3"/>
  <c r="P10" i="3"/>
  <c r="M11" i="3"/>
  <c r="N11" i="3"/>
  <c r="O11" i="3"/>
  <c r="P11" i="3"/>
  <c r="M12" i="3"/>
  <c r="N12" i="3"/>
  <c r="O12" i="3"/>
  <c r="P12" i="3"/>
  <c r="M13" i="3"/>
  <c r="N13" i="3"/>
  <c r="O13" i="3"/>
  <c r="P13" i="3"/>
  <c r="M30" i="3"/>
  <c r="N30" i="3"/>
  <c r="O30" i="3"/>
  <c r="P30" i="3"/>
  <c r="M31" i="3"/>
  <c r="N31" i="3"/>
  <c r="O31" i="3"/>
  <c r="P31" i="3"/>
  <c r="M6" i="3"/>
  <c r="N6" i="3"/>
  <c r="O6" i="3"/>
  <c r="P6" i="3"/>
  <c r="M14" i="3"/>
  <c r="N14" i="3"/>
  <c r="O14" i="3"/>
  <c r="P14" i="3"/>
  <c r="M15" i="3"/>
  <c r="N15" i="3"/>
  <c r="O15" i="3"/>
  <c r="P15" i="3"/>
  <c r="M16" i="3"/>
  <c r="N16" i="3"/>
  <c r="O16" i="3"/>
  <c r="P16" i="3"/>
  <c r="M17" i="3"/>
  <c r="N17" i="3"/>
  <c r="O17" i="3"/>
  <c r="P17" i="3"/>
  <c r="M18" i="3"/>
  <c r="N18" i="3"/>
  <c r="O18" i="3"/>
  <c r="P18" i="3"/>
  <c r="M19" i="3"/>
  <c r="N19" i="3"/>
  <c r="O19" i="3"/>
  <c r="P19" i="3"/>
  <c r="M20" i="3"/>
  <c r="N20" i="3"/>
  <c r="O20" i="3"/>
  <c r="P20" i="3"/>
  <c r="M21" i="3"/>
  <c r="N21" i="3"/>
  <c r="O21" i="3"/>
  <c r="P21" i="3"/>
  <c r="M22" i="3"/>
  <c r="N22" i="3"/>
  <c r="O22" i="3"/>
  <c r="P22" i="3"/>
  <c r="M23" i="3"/>
  <c r="N23" i="3"/>
  <c r="O23" i="3"/>
  <c r="P23" i="3"/>
  <c r="M24" i="3"/>
  <c r="N24" i="3"/>
  <c r="O24" i="3"/>
  <c r="P24" i="3"/>
  <c r="M25" i="3"/>
  <c r="N25" i="3"/>
  <c r="O25" i="3"/>
  <c r="P25" i="3"/>
  <c r="M26" i="3"/>
  <c r="N26" i="3"/>
  <c r="O26" i="3"/>
  <c r="P26" i="3"/>
  <c r="M27" i="3"/>
  <c r="N27" i="3"/>
  <c r="O27" i="3"/>
  <c r="P27" i="3"/>
  <c r="M28" i="3"/>
  <c r="N28" i="3"/>
  <c r="O28" i="3"/>
  <c r="P28" i="3"/>
  <c r="M29" i="3"/>
  <c r="N29" i="3"/>
  <c r="O29" i="3"/>
  <c r="P29" i="3"/>
  <c r="M32" i="3"/>
  <c r="N32" i="3"/>
  <c r="O32" i="3"/>
  <c r="P32" i="3"/>
  <c r="M33" i="3"/>
  <c r="N33" i="3"/>
  <c r="O33" i="3"/>
  <c r="P33" i="3"/>
  <c r="M34" i="3"/>
  <c r="N34" i="3"/>
  <c r="O34" i="3"/>
  <c r="P34" i="3"/>
  <c r="M35" i="3"/>
  <c r="N35" i="3"/>
  <c r="O35" i="3"/>
  <c r="P35" i="3"/>
  <c r="M36" i="3"/>
  <c r="N36" i="3"/>
  <c r="O36" i="3"/>
  <c r="P36" i="3"/>
  <c r="M37" i="3"/>
  <c r="N37" i="3"/>
  <c r="O37" i="3"/>
  <c r="P37" i="3"/>
  <c r="M38" i="3"/>
  <c r="N38" i="3"/>
  <c r="O38" i="3"/>
  <c r="P38" i="3"/>
  <c r="M39" i="3"/>
  <c r="N39" i="3"/>
  <c r="O39" i="3"/>
  <c r="P39" i="3"/>
  <c r="M40" i="3"/>
  <c r="N40" i="3"/>
  <c r="O40" i="3"/>
  <c r="P40" i="3"/>
  <c r="M41" i="3"/>
  <c r="N41" i="3"/>
  <c r="O41" i="3"/>
  <c r="P41" i="3"/>
  <c r="M42" i="3"/>
  <c r="N42" i="3"/>
  <c r="O42" i="3"/>
  <c r="P42" i="3"/>
  <c r="M43" i="3"/>
  <c r="N43" i="3"/>
  <c r="O43" i="3"/>
  <c r="P43" i="3"/>
  <c r="M44" i="3"/>
  <c r="N44" i="3"/>
  <c r="O44" i="3"/>
  <c r="P44" i="3"/>
  <c r="M45" i="3"/>
  <c r="N45" i="3"/>
  <c r="O45" i="3"/>
  <c r="P45" i="3"/>
  <c r="M46" i="3"/>
  <c r="N46" i="3"/>
  <c r="O46" i="3"/>
  <c r="P46" i="3"/>
  <c r="M47" i="3"/>
  <c r="N47" i="3"/>
  <c r="O47" i="3"/>
  <c r="P47" i="3"/>
  <c r="M48" i="3"/>
  <c r="N48" i="3"/>
  <c r="O48" i="3"/>
  <c r="P48" i="3"/>
  <c r="M49" i="3"/>
  <c r="N49" i="3"/>
  <c r="O49" i="3"/>
  <c r="P49" i="3"/>
  <c r="M50" i="3"/>
  <c r="N50" i="3"/>
  <c r="O50" i="3"/>
  <c r="P50" i="3"/>
  <c r="M51" i="3"/>
  <c r="N51" i="3"/>
  <c r="O51" i="3"/>
  <c r="P51" i="3"/>
  <c r="N5" i="3"/>
  <c r="O5" i="3"/>
  <c r="P5" i="3"/>
  <c r="M5" i="3"/>
  <c r="O40" i="28"/>
  <c r="N40" i="28"/>
  <c r="M40" i="28"/>
  <c r="L40" i="28"/>
  <c r="O36" i="28"/>
  <c r="N36" i="28"/>
  <c r="M36" i="28"/>
  <c r="L36" i="28"/>
  <c r="O26" i="28"/>
  <c r="N26" i="28"/>
  <c r="M26" i="28"/>
  <c r="L26" i="28"/>
  <c r="O24" i="28"/>
  <c r="N24" i="28"/>
  <c r="M24" i="28"/>
  <c r="L24" i="28"/>
  <c r="O23" i="28"/>
  <c r="N23" i="28"/>
  <c r="M23" i="28"/>
  <c r="L23" i="28"/>
  <c r="O21" i="28"/>
  <c r="N21" i="28"/>
  <c r="M21" i="28"/>
  <c r="L21" i="28"/>
  <c r="M13" i="28"/>
  <c r="N13" i="28"/>
  <c r="O13" i="28"/>
  <c r="L13" i="28"/>
  <c r="L4" i="27" l="1"/>
  <c r="M4" i="27"/>
  <c r="N4" i="27"/>
  <c r="O4" i="27"/>
  <c r="L43" i="27"/>
  <c r="M43" i="27"/>
  <c r="N43" i="27"/>
  <c r="O43" i="27"/>
  <c r="L28" i="27"/>
  <c r="M28" i="27"/>
  <c r="N28" i="27"/>
  <c r="O28" i="27"/>
  <c r="L17" i="27"/>
  <c r="M17" i="27"/>
  <c r="N17" i="27"/>
  <c r="O17" i="27"/>
  <c r="L18" i="27"/>
  <c r="M18" i="27"/>
  <c r="N18" i="27"/>
  <c r="O18" i="27"/>
  <c r="L35" i="27"/>
  <c r="M35" i="27"/>
  <c r="N35" i="27"/>
  <c r="O35" i="27"/>
  <c r="L36" i="27"/>
  <c r="M36" i="27"/>
  <c r="N36" i="27"/>
  <c r="O36" i="27"/>
  <c r="L40" i="27"/>
  <c r="M40" i="27"/>
  <c r="N40" i="27"/>
  <c r="O40" i="27"/>
  <c r="M11" i="27"/>
  <c r="L11" i="27"/>
  <c r="N11" i="27"/>
  <c r="O11" i="27"/>
</calcChain>
</file>

<file path=xl/sharedStrings.xml><?xml version="1.0" encoding="utf-8"?>
<sst xmlns="http://schemas.openxmlformats.org/spreadsheetml/2006/main" count="785" uniqueCount="70">
  <si>
    <t>eV3P / DSK</t>
  </si>
  <si>
    <t>Project</t>
  </si>
  <si>
    <t>eV3P</t>
  </si>
  <si>
    <t>#D0</t>
  </si>
  <si>
    <t>DSK</t>
  </si>
  <si>
    <t>#2</t>
  </si>
  <si>
    <t>#3</t>
  </si>
  <si>
    <t>#D5</t>
  </si>
  <si>
    <t>#0</t>
  </si>
  <si>
    <t>P42Q PRC</t>
  </si>
  <si>
    <t>#1</t>
  </si>
  <si>
    <t>#4</t>
  </si>
  <si>
    <t>W61Q</t>
  </si>
  <si>
    <t>W61R</t>
  </si>
  <si>
    <t>#3'</t>
  </si>
  <si>
    <t>P33A USA MR15(NMK)</t>
  </si>
  <si>
    <t>P33B EUR e-Power</t>
  </si>
  <si>
    <t>#D2</t>
  </si>
  <si>
    <t>P33B CONV EUR</t>
  </si>
  <si>
    <t>P42R USA</t>
  </si>
  <si>
    <t>#D1</t>
  </si>
  <si>
    <t>#D3</t>
  </si>
  <si>
    <t>確認結果</t>
    <rPh sb="0" eb="2">
      <t>カクニン</t>
    </rPh>
    <rPh sb="2" eb="4">
      <t>ケッカ</t>
    </rPh>
    <phoneticPr fontId="3"/>
  </si>
  <si>
    <t>#D4</t>
  </si>
  <si>
    <t>LZ2A　PRC</t>
  </si>
  <si>
    <t>UZ2C US</t>
  </si>
  <si>
    <t>UZ2C PRC</t>
  </si>
  <si>
    <t>P33B EUR PHEV</t>
  </si>
  <si>
    <t>P42Q USA</t>
  </si>
  <si>
    <t>P13A HEV</t>
  </si>
  <si>
    <t>P13C MEX ICE</t>
  </si>
  <si>
    <t>P13C JPN e-Power</t>
  </si>
  <si>
    <t>J32V ICE</t>
  </si>
  <si>
    <t>B13B 4WD</t>
  </si>
  <si>
    <t>P60A THI 22MY</t>
  </si>
  <si>
    <t>P33B CONV PRC</t>
  </si>
  <si>
    <t>J32V e-Power</t>
  </si>
  <si>
    <t>P42S</t>
  </si>
  <si>
    <t>TBD</t>
  </si>
  <si>
    <t>北村さんのメールの比較結果</t>
    <rPh sb="0" eb="2">
      <t>キタムラ</t>
    </rPh>
    <rPh sb="9" eb="11">
      <t>ヒカク</t>
    </rPh>
    <rPh sb="11" eb="13">
      <t>ケッカ</t>
    </rPh>
    <phoneticPr fontId="3"/>
  </si>
  <si>
    <t>XC2C</t>
  </si>
  <si>
    <t>#0+1</t>
  </si>
  <si>
    <t>H60A AGT 22MY (FSI LCP)</t>
  </si>
  <si>
    <t>H60A ASR LCP (NMT)</t>
  </si>
  <si>
    <t>北村さんのメール1</t>
    <phoneticPr fontId="3"/>
  </si>
  <si>
    <t>北村さんのメール2</t>
    <phoneticPr fontId="3"/>
  </si>
  <si>
    <t>#2.5</t>
  </si>
  <si>
    <t>変更なし</t>
    <rPh sb="0" eb="2">
      <t>ヘンコウ</t>
    </rPh>
    <phoneticPr fontId="3"/>
  </si>
  <si>
    <t>H60A SAF/SSA</t>
  </si>
  <si>
    <t>L21B PRC e-POWER</t>
  </si>
  <si>
    <t>PZ1A JPN/US/EUR</t>
  </si>
  <si>
    <t>W42T PRC</t>
  </si>
  <si>
    <t>P33A JPN/EUR e-power</t>
  </si>
  <si>
    <t>N71A 22MY</t>
  </si>
  <si>
    <t>P33A EUR MR15</t>
  </si>
  <si>
    <t>P33A PRC MR15</t>
  </si>
  <si>
    <t>2020.10.21</t>
  </si>
  <si>
    <t>実施済み、問題なし</t>
  </si>
  <si>
    <t>日程削除</t>
  </si>
  <si>
    <t>新規追加</t>
  </si>
  <si>
    <t>W21C</t>
  </si>
  <si>
    <t>#3フォロー会#2</t>
  </si>
  <si>
    <t>2020.10.28</t>
  </si>
  <si>
    <t>変更なし</t>
  </si>
  <si>
    <t>日程変更：11/16←11/6</t>
  </si>
  <si>
    <t>日程変更：12/7←11/23</t>
  </si>
  <si>
    <t>日程変更：12/7←12/8</t>
  </si>
  <si>
    <t>日程変更：11/24←TBD</t>
  </si>
  <si>
    <t>日程変更：11/6←TBD</t>
  </si>
  <si>
    <t>日程変更：12/7←12/21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</si>
</sst>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charset val="128"/>
      <scheme val="minor"/>
    </font>
    <font>
      <b/>
      <sz val="10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6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sz val="10"/>
      <color rgb="FFA6A6A6"/>
      <name val="Meiryo UI"/>
      <family val="3"/>
      <charset val="128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left" vertical="center"/>
    </xf>
    <xf numFmtId="14" fontId="2" fillId="0" borderId="9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quotePrefix="1">
      <alignment vertical="center"/>
    </xf>
    <xf numFmtId="0" fontId="0" fillId="0" borderId="16" xfId="0" quotePrefix="1" applyBorder="1">
      <alignment vertical="center"/>
    </xf>
    <xf numFmtId="0" fontId="0" fillId="5" borderId="16" xfId="0" applyFill="1" applyBorder="1" applyAlignment="1">
      <alignment vertical="center" wrapText="1"/>
    </xf>
    <xf numFmtId="0" fontId="1" fillId="2" borderId="7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14" fontId="2" fillId="0" borderId="12" xfId="0" applyNumberFormat="1" applyFont="1" applyBorder="1" applyAlignment="1">
      <alignment horizontal="center" vertical="center"/>
    </xf>
    <xf numFmtId="14" fontId="2" fillId="0" borderId="10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/>
    </xf>
    <xf numFmtId="0" fontId="0" fillId="0" borderId="0" xfId="0" applyBorder="1">
      <alignment vertical="center"/>
    </xf>
    <xf numFmtId="14" fontId="2" fillId="4" borderId="9" xfId="0" applyNumberFormat="1" applyFont="1" applyFill="1" applyBorder="1" applyAlignment="1">
      <alignment horizontal="center" vertical="center"/>
    </xf>
    <xf numFmtId="0" fontId="4" fillId="0" borderId="0" xfId="0" applyFont="1" applyFill="1">
      <alignment vertical="center"/>
    </xf>
    <xf numFmtId="0" fontId="4" fillId="0" borderId="16" xfId="0" applyFont="1" applyFill="1" applyBorder="1" applyAlignment="1">
      <alignment vertical="center" wrapText="1"/>
    </xf>
    <xf numFmtId="0" fontId="0" fillId="3" borderId="16" xfId="0" applyFill="1" applyBorder="1" applyAlignment="1">
      <alignment vertical="center" wrapText="1"/>
    </xf>
    <xf numFmtId="14" fontId="2" fillId="0" borderId="13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14" fontId="5" fillId="4" borderId="9" xfId="0" applyNumberFormat="1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left" vertical="center"/>
    </xf>
    <xf numFmtId="0" fontId="0" fillId="3" borderId="0" xfId="0" applyFill="1">
      <alignment vertical="center"/>
    </xf>
    <xf numFmtId="14" fontId="2" fillId="6" borderId="9" xfId="0" applyNumberFormat="1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left" vertical="center"/>
    </xf>
    <xf numFmtId="0" fontId="6" fillId="3" borderId="16" xfId="0" applyFont="1" applyFill="1" applyBorder="1" applyAlignment="1">
      <alignment vertical="center" wrapText="1"/>
    </xf>
    <xf numFmtId="0" fontId="4" fillId="3" borderId="16" xfId="0" applyFont="1" applyFill="1" applyBorder="1" applyAlignment="1">
      <alignment vertical="center" wrapText="1"/>
    </xf>
    <xf numFmtId="14" fontId="2" fillId="0" borderId="0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0" fillId="6" borderId="0" xfId="0" applyFill="1" applyBorder="1" applyAlignment="1">
      <alignment horizontal="center" vertical="center"/>
    </xf>
    <xf numFmtId="0" fontId="0" fillId="6" borderId="0" xfId="0" applyFill="1" applyBorder="1" applyAlignment="1">
      <alignment vertical="center" wrapText="1"/>
    </xf>
    <xf numFmtId="0" fontId="0" fillId="6" borderId="0" xfId="0" applyFill="1" applyBorder="1">
      <alignment vertical="center"/>
    </xf>
    <xf numFmtId="0" fontId="2" fillId="6" borderId="9" xfId="0" applyFont="1" applyFill="1" applyBorder="1" applyAlignment="1">
      <alignment horizontal="center" vertical="center"/>
    </xf>
    <xf numFmtId="0" fontId="0" fillId="6" borderId="0" xfId="0" applyFill="1">
      <alignment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left" vertical="center"/>
    </xf>
    <xf numFmtId="14" fontId="2" fillId="3" borderId="9" xfId="0" applyNumberFormat="1" applyFont="1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 wrapText="1"/>
    </xf>
    <xf numFmtId="0" fontId="1" fillId="2" borderId="22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wrapText="1"/>
    </xf>
  </cellXfs>
  <cellStyles count="1">
    <cellStyle name="Normal" xfId="0" builtinId="0"/>
  </cellStyles>
  <dxfs count="6">
    <dxf>
      <font>
        <strike val="0"/>
        <color auto="1"/>
      </font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strike val="0"/>
        <color auto="1"/>
      </font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strike val="0"/>
        <color auto="1"/>
      </font>
      <fill>
        <patternFill>
          <bgColor rgb="FF00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59"/>
  <sheetViews>
    <sheetView zoomScaleNormal="100" workbookViewId="0">
      <pane ySplit="4" topLeftCell="A5" activePane="bottomLeft" state="frozen"/>
      <selection pane="bottomLeft" activeCell="B1" sqref="B1:K1048576"/>
    </sheetView>
  </sheetViews>
  <sheetFormatPr defaultRowHeight="15"/>
  <cols>
    <col min="1" max="1" width="5" customWidth="1"/>
    <col min="2" max="2" width="12" bestFit="1" customWidth="1"/>
    <col min="3" max="3" width="5.7109375" bestFit="1" customWidth="1"/>
    <col min="4" max="4" width="14.5703125" bestFit="1" customWidth="1"/>
    <col min="5" max="5" width="51.28515625" customWidth="1"/>
    <col min="6" max="6" width="3.28515625" customWidth="1"/>
    <col min="7" max="7" width="4.140625" customWidth="1"/>
    <col min="8" max="8" width="13.42578125" customWidth="1"/>
    <col min="10" max="10" width="15.28515625" customWidth="1"/>
    <col min="11" max="11" width="27.28515625" customWidth="1"/>
    <col min="12" max="12" width="5.5703125" customWidth="1"/>
    <col min="17" max="17" width="35.28515625" customWidth="1"/>
    <col min="18" max="18" width="55" bestFit="1" customWidth="1"/>
  </cols>
  <sheetData>
    <row r="1" spans="2:18">
      <c r="R1" s="6"/>
    </row>
    <row r="2" spans="2:18" ht="15.75" thickBot="1">
      <c r="B2" s="45" t="s">
        <v>56</v>
      </c>
      <c r="C2" s="45"/>
      <c r="D2" s="45"/>
      <c r="E2" s="45"/>
      <c r="H2" s="45" t="s">
        <v>62</v>
      </c>
      <c r="I2" s="45"/>
      <c r="J2" s="45"/>
      <c r="K2" s="45"/>
      <c r="M2" s="45" t="s">
        <v>22</v>
      </c>
      <c r="N2" s="45"/>
      <c r="O2" s="45"/>
      <c r="P2" s="45"/>
      <c r="Q2" s="45"/>
      <c r="R2" s="7"/>
    </row>
    <row r="3" spans="2:18" ht="18" customHeight="1">
      <c r="B3" s="46" t="s">
        <v>0</v>
      </c>
      <c r="C3" s="47"/>
      <c r="D3" s="48"/>
      <c r="E3" s="52" t="s">
        <v>1</v>
      </c>
      <c r="H3" s="46" t="s">
        <v>0</v>
      </c>
      <c r="I3" s="47"/>
      <c r="J3" s="48"/>
      <c r="K3" s="52" t="s">
        <v>1</v>
      </c>
      <c r="M3" s="46" t="s">
        <v>0</v>
      </c>
      <c r="N3" s="47"/>
      <c r="O3" s="48"/>
      <c r="P3" s="58" t="s">
        <v>1</v>
      </c>
      <c r="Q3" s="60" t="s">
        <v>22</v>
      </c>
    </row>
    <row r="4" spans="2:18" ht="72.599999999999994" customHeight="1" thickBot="1">
      <c r="B4" s="49"/>
      <c r="C4" s="50"/>
      <c r="D4" s="51"/>
      <c r="E4" s="53"/>
      <c r="H4" s="54"/>
      <c r="I4" s="55"/>
      <c r="J4" s="56"/>
      <c r="K4" s="57"/>
      <c r="M4" s="54"/>
      <c r="N4" s="55"/>
      <c r="O4" s="56"/>
      <c r="P4" s="59"/>
      <c r="Q4" s="61"/>
    </row>
    <row r="5" spans="2:18" ht="15.75" thickBot="1">
      <c r="B5" s="18">
        <v>44125</v>
      </c>
      <c r="C5" s="1" t="s">
        <v>4</v>
      </c>
      <c r="D5" s="1" t="s">
        <v>14</v>
      </c>
      <c r="E5" s="2" t="s">
        <v>53</v>
      </c>
      <c r="H5" s="16" t="s">
        <v>38</v>
      </c>
      <c r="I5" s="14" t="s">
        <v>2</v>
      </c>
      <c r="J5" s="14" t="s">
        <v>3</v>
      </c>
      <c r="K5" s="15" t="s">
        <v>60</v>
      </c>
      <c r="M5" s="4" t="str">
        <f>IF(B5=H5, "OK","NG")</f>
        <v>NG</v>
      </c>
      <c r="N5" s="4" t="str">
        <f t="shared" ref="N5:O5" si="0">IF(C5=I5, "OK","NG")</f>
        <v>NG</v>
      </c>
      <c r="O5" s="4" t="str">
        <f t="shared" si="0"/>
        <v>NG</v>
      </c>
      <c r="P5" s="4" t="str">
        <f>IF(E5=K7, "OK","NG")</f>
        <v>NG</v>
      </c>
      <c r="Q5" s="8" t="s">
        <v>57</v>
      </c>
    </row>
    <row r="6" spans="2:18" ht="15.75" thickBot="1">
      <c r="B6" s="18">
        <v>44126</v>
      </c>
      <c r="C6" s="1" t="s">
        <v>4</v>
      </c>
      <c r="D6" s="1" t="s">
        <v>10</v>
      </c>
      <c r="E6" s="2" t="s">
        <v>35</v>
      </c>
      <c r="H6" s="16" t="s">
        <v>38</v>
      </c>
      <c r="I6" s="10" t="s">
        <v>4</v>
      </c>
      <c r="J6" s="10" t="s">
        <v>6</v>
      </c>
      <c r="K6" s="11" t="s">
        <v>27</v>
      </c>
      <c r="M6" s="4" t="str">
        <f t="shared" ref="M6:M48" si="1">IF(B6=H6, "OK","NG")</f>
        <v>NG</v>
      </c>
      <c r="N6" s="4" t="str">
        <f t="shared" ref="N6:N48" si="2">IF(C6=I6, "OK","NG")</f>
        <v>OK</v>
      </c>
      <c r="O6" s="4" t="str">
        <f t="shared" ref="O6:O48" si="3">IF(D6=J6, "OK","NG")</f>
        <v>NG</v>
      </c>
      <c r="P6" s="4" t="str">
        <f t="shared" ref="P6:P48" si="4">IF(E6=K6, "OK","NG")</f>
        <v>NG</v>
      </c>
      <c r="Q6" s="8" t="s">
        <v>57</v>
      </c>
      <c r="R6" s="19"/>
    </row>
    <row r="7" spans="2:18" ht="15.75" thickBot="1">
      <c r="B7" s="18">
        <v>44131</v>
      </c>
      <c r="C7" s="1" t="s">
        <v>4</v>
      </c>
      <c r="D7" s="1" t="s">
        <v>6</v>
      </c>
      <c r="E7" s="2" t="s">
        <v>28</v>
      </c>
      <c r="H7" s="24">
        <v>44132</v>
      </c>
      <c r="I7" s="25" t="s">
        <v>4</v>
      </c>
      <c r="J7" s="25" t="s">
        <v>61</v>
      </c>
      <c r="K7" s="26" t="s">
        <v>50</v>
      </c>
      <c r="M7" s="4" t="str">
        <f t="shared" ref="M7:M8" si="5">IF(B7=H7, "OK","NG")</f>
        <v>NG</v>
      </c>
      <c r="N7" s="4" t="str">
        <f t="shared" ref="N7:N8" si="6">IF(C7=I7, "OK","NG")</f>
        <v>OK</v>
      </c>
      <c r="O7" s="4" t="str">
        <f t="shared" ref="O7:O8" si="7">IF(D7=J7, "OK","NG")</f>
        <v>NG</v>
      </c>
      <c r="P7" s="4" t="e">
        <f>IF(E7=#REF!, "OK","NG")</f>
        <v>#REF!</v>
      </c>
      <c r="Q7" s="8" t="s">
        <v>57</v>
      </c>
      <c r="R7" s="19"/>
    </row>
    <row r="8" spans="2:18" ht="15.75" thickBot="1">
      <c r="B8" s="18">
        <v>44133</v>
      </c>
      <c r="C8" s="1" t="s">
        <v>4</v>
      </c>
      <c r="D8" s="1" t="s">
        <v>14</v>
      </c>
      <c r="E8" s="2" t="s">
        <v>15</v>
      </c>
      <c r="H8" s="18">
        <v>44133</v>
      </c>
      <c r="I8" s="1" t="s">
        <v>4</v>
      </c>
      <c r="J8" s="1" t="s">
        <v>14</v>
      </c>
      <c r="K8" s="2" t="s">
        <v>15</v>
      </c>
      <c r="M8" s="4" t="str">
        <f t="shared" si="5"/>
        <v>OK</v>
      </c>
      <c r="N8" s="4" t="str">
        <f t="shared" si="6"/>
        <v>OK</v>
      </c>
      <c r="O8" s="4" t="str">
        <f t="shared" si="7"/>
        <v>OK</v>
      </c>
      <c r="P8" s="4" t="str">
        <f t="shared" ref="P8" si="8">IF(E8=K8, "OK","NG")</f>
        <v>OK</v>
      </c>
      <c r="Q8" s="8" t="s">
        <v>63</v>
      </c>
      <c r="R8" s="5"/>
    </row>
    <row r="9" spans="2:18" s="40" customFormat="1" ht="15.75" thickBot="1">
      <c r="B9" s="28">
        <v>44133</v>
      </c>
      <c r="C9" s="29" t="s">
        <v>4</v>
      </c>
      <c r="D9" s="29" t="s">
        <v>14</v>
      </c>
      <c r="E9" s="30" t="s">
        <v>48</v>
      </c>
      <c r="H9" s="18">
        <v>44133</v>
      </c>
      <c r="I9" s="1" t="s">
        <v>4</v>
      </c>
      <c r="J9" s="1" t="s">
        <v>11</v>
      </c>
      <c r="K9" s="2" t="s">
        <v>43</v>
      </c>
      <c r="M9" s="44" t="str">
        <f t="shared" ref="M9:M13" si="9">IF(B9=H9, "OK","NG")</f>
        <v>OK</v>
      </c>
      <c r="N9" s="44" t="str">
        <f t="shared" ref="N9:N13" si="10">IF(C9=I9, "OK","NG")</f>
        <v>OK</v>
      </c>
      <c r="O9" s="44" t="str">
        <f t="shared" ref="O9:O13" si="11">IF(D9=J9, "OK","NG")</f>
        <v>NG</v>
      </c>
      <c r="P9" s="44" t="str">
        <f t="shared" ref="P9:P13" si="12">IF(E9=K9, "OK","NG")</f>
        <v>NG</v>
      </c>
      <c r="Q9" s="31" t="s">
        <v>58</v>
      </c>
    </row>
    <row r="10" spans="2:18" ht="15.75" thickBot="1">
      <c r="B10" s="18">
        <v>44133</v>
      </c>
      <c r="C10" s="1" t="s">
        <v>4</v>
      </c>
      <c r="D10" s="1" t="s">
        <v>11</v>
      </c>
      <c r="E10" s="2" t="s">
        <v>43</v>
      </c>
      <c r="H10" s="18">
        <v>44140</v>
      </c>
      <c r="I10" s="1" t="s">
        <v>2</v>
      </c>
      <c r="J10" s="1" t="s">
        <v>17</v>
      </c>
      <c r="K10" s="2" t="s">
        <v>30</v>
      </c>
      <c r="M10" s="4" t="str">
        <f t="shared" si="9"/>
        <v>NG</v>
      </c>
      <c r="N10" s="4" t="str">
        <f t="shared" si="10"/>
        <v>NG</v>
      </c>
      <c r="O10" s="4" t="str">
        <f t="shared" si="11"/>
        <v>NG</v>
      </c>
      <c r="P10" s="4" t="str">
        <f t="shared" si="12"/>
        <v>NG</v>
      </c>
      <c r="Q10" s="8" t="s">
        <v>63</v>
      </c>
      <c r="R10" s="5"/>
    </row>
    <row r="11" spans="2:18" s="40" customFormat="1" ht="15.75" thickBot="1">
      <c r="B11" s="28">
        <v>44141</v>
      </c>
      <c r="C11" s="29" t="s">
        <v>4</v>
      </c>
      <c r="D11" s="29" t="s">
        <v>14</v>
      </c>
      <c r="E11" s="30" t="s">
        <v>19</v>
      </c>
      <c r="H11" s="18">
        <v>44140</v>
      </c>
      <c r="I11" s="1" t="s">
        <v>2</v>
      </c>
      <c r="J11" s="1" t="s">
        <v>17</v>
      </c>
      <c r="K11" s="2" t="s">
        <v>31</v>
      </c>
      <c r="M11" s="44" t="str">
        <f t="shared" si="9"/>
        <v>NG</v>
      </c>
      <c r="N11" s="44" t="str">
        <f t="shared" si="10"/>
        <v>NG</v>
      </c>
      <c r="O11" s="44" t="str">
        <f t="shared" si="11"/>
        <v>NG</v>
      </c>
      <c r="P11" s="44" t="str">
        <f t="shared" si="12"/>
        <v>NG</v>
      </c>
      <c r="Q11" s="32" t="s">
        <v>64</v>
      </c>
    </row>
    <row r="12" spans="2:18" ht="21.75" customHeight="1" thickBot="1">
      <c r="B12" s="3">
        <v>44145</v>
      </c>
      <c r="C12" s="1" t="s">
        <v>4</v>
      </c>
      <c r="D12" s="1" t="s">
        <v>10</v>
      </c>
      <c r="E12" s="2" t="s">
        <v>54</v>
      </c>
      <c r="H12" s="18">
        <v>44141</v>
      </c>
      <c r="I12" s="1" t="s">
        <v>2</v>
      </c>
      <c r="J12" s="1" t="s">
        <v>20</v>
      </c>
      <c r="K12" s="2" t="s">
        <v>12</v>
      </c>
      <c r="M12" s="4" t="str">
        <f t="shared" si="9"/>
        <v>NG</v>
      </c>
      <c r="N12" s="4" t="str">
        <f t="shared" si="10"/>
        <v>NG</v>
      </c>
      <c r="O12" s="4" t="str">
        <f t="shared" si="11"/>
        <v>NG</v>
      </c>
      <c r="P12" s="4" t="str">
        <f t="shared" si="12"/>
        <v>NG</v>
      </c>
      <c r="Q12" s="8" t="s">
        <v>47</v>
      </c>
      <c r="R12" s="5"/>
    </row>
    <row r="13" spans="2:18" ht="19.5" customHeight="1" thickBot="1">
      <c r="B13" s="3">
        <v>44147</v>
      </c>
      <c r="C13" s="1" t="s">
        <v>4</v>
      </c>
      <c r="D13" s="1" t="s">
        <v>46</v>
      </c>
      <c r="E13" s="2" t="s">
        <v>49</v>
      </c>
      <c r="H13" s="18">
        <v>44141</v>
      </c>
      <c r="I13" s="1" t="s">
        <v>2</v>
      </c>
      <c r="J13" s="1" t="s">
        <v>20</v>
      </c>
      <c r="K13" s="2" t="s">
        <v>13</v>
      </c>
      <c r="M13" s="4" t="str">
        <f t="shared" si="9"/>
        <v>NG</v>
      </c>
      <c r="N13" s="4" t="str">
        <f t="shared" si="10"/>
        <v>NG</v>
      </c>
      <c r="O13" s="4" t="str">
        <f t="shared" si="11"/>
        <v>NG</v>
      </c>
      <c r="P13" s="4" t="str">
        <f t="shared" si="12"/>
        <v>NG</v>
      </c>
      <c r="Q13" s="8" t="s">
        <v>47</v>
      </c>
      <c r="R13" s="20"/>
    </row>
    <row r="14" spans="2:18" ht="22.5" customHeight="1" thickBot="1">
      <c r="B14" s="3">
        <v>44147</v>
      </c>
      <c r="C14" s="1" t="s">
        <v>4</v>
      </c>
      <c r="D14" s="1" t="s">
        <v>6</v>
      </c>
      <c r="E14" s="2" t="s">
        <v>34</v>
      </c>
      <c r="H14" s="3">
        <v>44145</v>
      </c>
      <c r="I14" s="1" t="s">
        <v>4</v>
      </c>
      <c r="J14" s="1" t="s">
        <v>10</v>
      </c>
      <c r="K14" s="2" t="s">
        <v>54</v>
      </c>
      <c r="M14" s="4" t="str">
        <f t="shared" si="1"/>
        <v>NG</v>
      </c>
      <c r="N14" s="4" t="str">
        <f t="shared" si="2"/>
        <v>OK</v>
      </c>
      <c r="O14" s="4" t="str">
        <f t="shared" si="3"/>
        <v>NG</v>
      </c>
      <c r="P14" s="4" t="str">
        <f t="shared" si="4"/>
        <v>NG</v>
      </c>
      <c r="Q14" s="8" t="s">
        <v>47</v>
      </c>
      <c r="R14" s="5"/>
    </row>
    <row r="15" spans="2:18" ht="15.75" thickBot="1">
      <c r="B15" s="3">
        <v>44148</v>
      </c>
      <c r="C15" s="1" t="s">
        <v>4</v>
      </c>
      <c r="D15" s="1" t="s">
        <v>5</v>
      </c>
      <c r="E15" s="2" t="s">
        <v>16</v>
      </c>
      <c r="H15" s="3">
        <v>44147</v>
      </c>
      <c r="I15" s="1" t="s">
        <v>4</v>
      </c>
      <c r="J15" s="1" t="s">
        <v>46</v>
      </c>
      <c r="K15" s="2" t="s">
        <v>49</v>
      </c>
      <c r="M15" s="4" t="str">
        <f t="shared" si="1"/>
        <v>NG</v>
      </c>
      <c r="N15" s="4" t="str">
        <f t="shared" si="2"/>
        <v>OK</v>
      </c>
      <c r="O15" s="4" t="str">
        <f t="shared" si="3"/>
        <v>NG</v>
      </c>
      <c r="P15" s="4" t="str">
        <f t="shared" si="4"/>
        <v>NG</v>
      </c>
      <c r="Q15" s="8" t="s">
        <v>47</v>
      </c>
      <c r="R15" s="5"/>
    </row>
    <row r="16" spans="2:18" ht="17.25" customHeight="1" thickBot="1">
      <c r="B16" s="3">
        <v>44151</v>
      </c>
      <c r="C16" s="1" t="s">
        <v>4</v>
      </c>
      <c r="D16" s="1" t="s">
        <v>11</v>
      </c>
      <c r="E16" s="2" t="s">
        <v>33</v>
      </c>
      <c r="H16" s="3">
        <v>44147</v>
      </c>
      <c r="I16" s="1" t="s">
        <v>4</v>
      </c>
      <c r="J16" s="1" t="s">
        <v>6</v>
      </c>
      <c r="K16" s="2" t="s">
        <v>34</v>
      </c>
      <c r="M16" s="4" t="str">
        <f t="shared" si="1"/>
        <v>NG</v>
      </c>
      <c r="N16" s="4" t="str">
        <f t="shared" si="2"/>
        <v>OK</v>
      </c>
      <c r="O16" s="4" t="str">
        <f t="shared" si="3"/>
        <v>NG</v>
      </c>
      <c r="P16" s="4" t="str">
        <f t="shared" si="4"/>
        <v>NG</v>
      </c>
      <c r="Q16" s="8" t="s">
        <v>47</v>
      </c>
      <c r="R16" s="5"/>
    </row>
    <row r="17" spans="1:52" s="40" customFormat="1" ht="15.75" thickBot="1">
      <c r="B17" s="28">
        <v>44158</v>
      </c>
      <c r="C17" s="29" t="s">
        <v>4</v>
      </c>
      <c r="D17" s="29" t="s">
        <v>11</v>
      </c>
      <c r="E17" s="30" t="s">
        <v>15</v>
      </c>
      <c r="H17" s="3">
        <v>44148</v>
      </c>
      <c r="I17" s="1" t="s">
        <v>2</v>
      </c>
      <c r="J17" s="1" t="s">
        <v>21</v>
      </c>
      <c r="K17" s="2" t="s">
        <v>36</v>
      </c>
      <c r="M17" s="44" t="str">
        <f t="shared" si="1"/>
        <v>NG</v>
      </c>
      <c r="N17" s="44" t="str">
        <f t="shared" si="2"/>
        <v>NG</v>
      </c>
      <c r="O17" s="44" t="str">
        <f t="shared" si="3"/>
        <v>NG</v>
      </c>
      <c r="P17" s="44" t="str">
        <f t="shared" si="4"/>
        <v>NG</v>
      </c>
      <c r="Q17" s="32" t="s">
        <v>65</v>
      </c>
    </row>
    <row r="18" spans="1:52" ht="15.75" thickBot="1">
      <c r="B18" s="3">
        <v>44158</v>
      </c>
      <c r="C18" s="1" t="s">
        <v>4</v>
      </c>
      <c r="D18" s="1" t="s">
        <v>14</v>
      </c>
      <c r="E18" s="2" t="s">
        <v>18</v>
      </c>
      <c r="H18" s="3">
        <v>44148</v>
      </c>
      <c r="I18" s="1" t="s">
        <v>4</v>
      </c>
      <c r="J18" s="1" t="s">
        <v>5</v>
      </c>
      <c r="K18" s="2" t="s">
        <v>16</v>
      </c>
      <c r="M18" s="4" t="str">
        <f t="shared" si="1"/>
        <v>NG</v>
      </c>
      <c r="N18" s="4" t="str">
        <f t="shared" si="2"/>
        <v>OK</v>
      </c>
      <c r="O18" s="4" t="str">
        <f t="shared" si="3"/>
        <v>NG</v>
      </c>
      <c r="P18" s="4" t="str">
        <f t="shared" si="4"/>
        <v>NG</v>
      </c>
      <c r="Q18" s="8" t="s">
        <v>47</v>
      </c>
      <c r="R18" s="5"/>
    </row>
    <row r="19" spans="1:52" s="27" customFormat="1" ht="15.75" thickBot="1">
      <c r="A19" s="40"/>
      <c r="B19" s="3">
        <v>44165</v>
      </c>
      <c r="C19" s="1" t="s">
        <v>4</v>
      </c>
      <c r="D19" s="1" t="s">
        <v>5</v>
      </c>
      <c r="E19" s="2" t="s">
        <v>35</v>
      </c>
      <c r="F19" s="40"/>
      <c r="G19" s="40"/>
      <c r="H19" s="3">
        <v>44151</v>
      </c>
      <c r="I19" s="1" t="s">
        <v>4</v>
      </c>
      <c r="J19" s="1" t="s">
        <v>14</v>
      </c>
      <c r="K19" s="2" t="s">
        <v>19</v>
      </c>
      <c r="L19" s="40"/>
      <c r="M19" s="4" t="str">
        <f t="shared" si="1"/>
        <v>NG</v>
      </c>
      <c r="N19" s="4" t="str">
        <f t="shared" si="2"/>
        <v>OK</v>
      </c>
      <c r="O19" s="4" t="str">
        <f t="shared" si="3"/>
        <v>NG</v>
      </c>
      <c r="P19" s="4" t="str">
        <f t="shared" si="4"/>
        <v>NG</v>
      </c>
      <c r="Q19" s="8" t="s">
        <v>47</v>
      </c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</row>
    <row r="20" spans="1:52" ht="15.75" thickBot="1">
      <c r="B20" s="3">
        <v>44169</v>
      </c>
      <c r="C20" s="1" t="s">
        <v>4</v>
      </c>
      <c r="D20" s="1" t="s">
        <v>46</v>
      </c>
      <c r="E20" s="2" t="s">
        <v>9</v>
      </c>
      <c r="H20" s="3">
        <v>44151</v>
      </c>
      <c r="I20" s="1" t="s">
        <v>4</v>
      </c>
      <c r="J20" s="1" t="s">
        <v>11</v>
      </c>
      <c r="K20" s="2" t="s">
        <v>33</v>
      </c>
      <c r="M20" s="4" t="str">
        <f t="shared" si="1"/>
        <v>NG</v>
      </c>
      <c r="N20" s="4" t="str">
        <f t="shared" si="2"/>
        <v>OK</v>
      </c>
      <c r="O20" s="4" t="str">
        <f t="shared" si="3"/>
        <v>NG</v>
      </c>
      <c r="P20" s="4" t="str">
        <f t="shared" si="4"/>
        <v>NG</v>
      </c>
      <c r="Q20" s="8" t="s">
        <v>47</v>
      </c>
      <c r="R20" s="5"/>
    </row>
    <row r="21" spans="1:52" ht="15.75" thickBot="1">
      <c r="B21" s="3">
        <v>44172</v>
      </c>
      <c r="C21" s="1" t="s">
        <v>4</v>
      </c>
      <c r="D21" s="1" t="s">
        <v>8</v>
      </c>
      <c r="E21" s="2" t="s">
        <v>40</v>
      </c>
      <c r="H21" s="3">
        <v>44158</v>
      </c>
      <c r="I21" s="1" t="s">
        <v>4</v>
      </c>
      <c r="J21" s="1" t="s">
        <v>14</v>
      </c>
      <c r="K21" s="2" t="s">
        <v>18</v>
      </c>
      <c r="M21" s="4" t="str">
        <f t="shared" si="1"/>
        <v>NG</v>
      </c>
      <c r="N21" s="4" t="str">
        <f t="shared" si="2"/>
        <v>OK</v>
      </c>
      <c r="O21" s="4" t="str">
        <f t="shared" si="3"/>
        <v>NG</v>
      </c>
      <c r="P21" s="4" t="str">
        <f t="shared" si="4"/>
        <v>NG</v>
      </c>
      <c r="Q21" s="8" t="s">
        <v>47</v>
      </c>
      <c r="R21" s="19"/>
    </row>
    <row r="22" spans="1:52" ht="15.75" thickBot="1">
      <c r="B22" s="3">
        <v>44172</v>
      </c>
      <c r="C22" s="1" t="s">
        <v>4</v>
      </c>
      <c r="D22" s="1" t="s">
        <v>41</v>
      </c>
      <c r="E22" s="2" t="s">
        <v>29</v>
      </c>
      <c r="H22" s="3">
        <v>44159</v>
      </c>
      <c r="I22" s="1" t="s">
        <v>4</v>
      </c>
      <c r="J22" s="1" t="s">
        <v>10</v>
      </c>
      <c r="K22" s="2" t="s">
        <v>52</v>
      </c>
      <c r="M22" s="4" t="str">
        <f t="shared" si="1"/>
        <v>NG</v>
      </c>
      <c r="N22" s="4" t="str">
        <f t="shared" si="2"/>
        <v>OK</v>
      </c>
      <c r="O22" s="4" t="str">
        <f t="shared" si="3"/>
        <v>NG</v>
      </c>
      <c r="P22" s="4" t="str">
        <f t="shared" si="4"/>
        <v>NG</v>
      </c>
      <c r="Q22" s="8" t="s">
        <v>47</v>
      </c>
      <c r="R22" s="5"/>
    </row>
    <row r="23" spans="1:52" s="40" customFormat="1" ht="15.75" thickBot="1">
      <c r="B23" s="28">
        <v>44173</v>
      </c>
      <c r="C23" s="29" t="s">
        <v>4</v>
      </c>
      <c r="D23" s="29" t="s">
        <v>10</v>
      </c>
      <c r="E23" s="30" t="s">
        <v>42</v>
      </c>
      <c r="H23" s="13">
        <v>44165</v>
      </c>
      <c r="I23" s="14" t="s">
        <v>4</v>
      </c>
      <c r="J23" s="14" t="s">
        <v>5</v>
      </c>
      <c r="K23" s="15" t="s">
        <v>35</v>
      </c>
      <c r="M23" s="44" t="str">
        <f t="shared" si="1"/>
        <v>NG</v>
      </c>
      <c r="N23" s="44" t="str">
        <f t="shared" si="2"/>
        <v>OK</v>
      </c>
      <c r="O23" s="44" t="str">
        <f t="shared" si="3"/>
        <v>NG</v>
      </c>
      <c r="P23" s="44" t="str">
        <f t="shared" si="4"/>
        <v>NG</v>
      </c>
      <c r="Q23" s="32" t="s">
        <v>66</v>
      </c>
    </row>
    <row r="24" spans="1:52" ht="15.75" thickBot="1">
      <c r="B24" s="3">
        <v>44179</v>
      </c>
      <c r="C24" s="1" t="s">
        <v>4</v>
      </c>
      <c r="D24" s="1" t="s">
        <v>5</v>
      </c>
      <c r="E24" s="2" t="s">
        <v>54</v>
      </c>
      <c r="H24" s="12">
        <v>44166</v>
      </c>
      <c r="I24" s="10" t="s">
        <v>2</v>
      </c>
      <c r="J24" s="10" t="s">
        <v>17</v>
      </c>
      <c r="K24" s="11" t="s">
        <v>25</v>
      </c>
      <c r="M24" s="4" t="str">
        <f t="shared" si="1"/>
        <v>NG</v>
      </c>
      <c r="N24" s="4" t="str">
        <f t="shared" si="2"/>
        <v>NG</v>
      </c>
      <c r="O24" s="4" t="str">
        <f t="shared" si="3"/>
        <v>NG</v>
      </c>
      <c r="P24" s="4" t="str">
        <f t="shared" si="4"/>
        <v>NG</v>
      </c>
      <c r="Q24" s="8" t="s">
        <v>47</v>
      </c>
      <c r="R24" s="5"/>
    </row>
    <row r="25" spans="1:52" s="40" customFormat="1" ht="15.75" thickBot="1">
      <c r="B25" s="28">
        <v>44186</v>
      </c>
      <c r="C25" s="29" t="s">
        <v>4</v>
      </c>
      <c r="D25" s="29" t="s">
        <v>10</v>
      </c>
      <c r="E25" s="30" t="s">
        <v>40</v>
      </c>
      <c r="H25" s="3">
        <v>44166</v>
      </c>
      <c r="I25" s="1" t="s">
        <v>2</v>
      </c>
      <c r="J25" s="1" t="s">
        <v>17</v>
      </c>
      <c r="K25" s="2" t="s">
        <v>26</v>
      </c>
      <c r="M25" s="44" t="str">
        <f t="shared" si="1"/>
        <v>NG</v>
      </c>
      <c r="N25" s="44" t="str">
        <f t="shared" si="2"/>
        <v>NG</v>
      </c>
      <c r="O25" s="44" t="str">
        <f t="shared" si="3"/>
        <v>NG</v>
      </c>
      <c r="P25" s="44" t="str">
        <f t="shared" si="4"/>
        <v>NG</v>
      </c>
      <c r="Q25" s="32" t="s">
        <v>69</v>
      </c>
    </row>
    <row r="26" spans="1:52" ht="15.75" thickBot="1">
      <c r="B26" s="13">
        <v>44207</v>
      </c>
      <c r="C26" s="14" t="s">
        <v>4</v>
      </c>
      <c r="D26" s="14" t="s">
        <v>14</v>
      </c>
      <c r="E26" s="15" t="s">
        <v>50</v>
      </c>
      <c r="H26" s="3">
        <v>44166</v>
      </c>
      <c r="I26" s="1" t="s">
        <v>2</v>
      </c>
      <c r="J26" s="1" t="s">
        <v>7</v>
      </c>
      <c r="K26" s="2" t="s">
        <v>24</v>
      </c>
      <c r="M26" s="4" t="str">
        <f t="shared" si="1"/>
        <v>NG</v>
      </c>
      <c r="N26" s="4" t="str">
        <f t="shared" si="2"/>
        <v>NG</v>
      </c>
      <c r="O26" s="4" t="str">
        <f t="shared" si="3"/>
        <v>NG</v>
      </c>
      <c r="P26" s="4" t="str">
        <f t="shared" si="4"/>
        <v>NG</v>
      </c>
      <c r="Q26" s="8" t="s">
        <v>47</v>
      </c>
      <c r="R26" s="5"/>
    </row>
    <row r="27" spans="1:52" ht="15.75" thickBot="1">
      <c r="B27" s="12">
        <v>44207</v>
      </c>
      <c r="C27" s="10" t="s">
        <v>4</v>
      </c>
      <c r="D27" s="10" t="s">
        <v>5</v>
      </c>
      <c r="E27" s="11" t="s">
        <v>52</v>
      </c>
      <c r="H27" s="3">
        <v>44168</v>
      </c>
      <c r="I27" s="1" t="s">
        <v>2</v>
      </c>
      <c r="J27" s="1" t="s">
        <v>20</v>
      </c>
      <c r="K27" s="2" t="s">
        <v>37</v>
      </c>
      <c r="M27" s="4" t="str">
        <f t="shared" si="1"/>
        <v>NG</v>
      </c>
      <c r="N27" s="4" t="str">
        <f t="shared" si="2"/>
        <v>NG</v>
      </c>
      <c r="O27" s="4" t="str">
        <f t="shared" si="3"/>
        <v>NG</v>
      </c>
      <c r="P27" s="4" t="str">
        <f t="shared" si="4"/>
        <v>NG</v>
      </c>
      <c r="Q27" s="8" t="s">
        <v>47</v>
      </c>
      <c r="R27" s="5"/>
    </row>
    <row r="28" spans="1:52" ht="15.75" thickBot="1">
      <c r="B28" s="3">
        <v>44215</v>
      </c>
      <c r="C28" s="1" t="s">
        <v>4</v>
      </c>
      <c r="D28" s="1" t="s">
        <v>11</v>
      </c>
      <c r="E28" s="2" t="s">
        <v>48</v>
      </c>
      <c r="H28" s="3">
        <v>44169</v>
      </c>
      <c r="I28" s="1" t="s">
        <v>4</v>
      </c>
      <c r="J28" s="1" t="s">
        <v>46</v>
      </c>
      <c r="K28" s="2" t="s">
        <v>9</v>
      </c>
      <c r="M28" s="4" t="str">
        <f t="shared" si="1"/>
        <v>NG</v>
      </c>
      <c r="N28" s="4" t="str">
        <f t="shared" si="2"/>
        <v>OK</v>
      </c>
      <c r="O28" s="4" t="str">
        <f t="shared" si="3"/>
        <v>NG</v>
      </c>
      <c r="P28" s="4" t="str">
        <f t="shared" si="4"/>
        <v>NG</v>
      </c>
      <c r="Q28" s="8" t="s">
        <v>47</v>
      </c>
      <c r="R28" s="5"/>
    </row>
    <row r="29" spans="1:52" ht="24.75" customHeight="1" thickBot="1">
      <c r="B29" s="3">
        <v>44215</v>
      </c>
      <c r="C29" s="1" t="s">
        <v>4</v>
      </c>
      <c r="D29" s="1" t="s">
        <v>5</v>
      </c>
      <c r="E29" s="2" t="s">
        <v>42</v>
      </c>
      <c r="H29" s="3">
        <v>44172</v>
      </c>
      <c r="I29" s="1" t="s">
        <v>4</v>
      </c>
      <c r="J29" s="1" t="s">
        <v>11</v>
      </c>
      <c r="K29" s="2" t="s">
        <v>15</v>
      </c>
      <c r="M29" s="4" t="str">
        <f t="shared" si="1"/>
        <v>NG</v>
      </c>
      <c r="N29" s="4" t="str">
        <f t="shared" si="2"/>
        <v>OK</v>
      </c>
      <c r="O29" s="4" t="str">
        <f t="shared" si="3"/>
        <v>NG</v>
      </c>
      <c r="P29" s="4" t="str">
        <f t="shared" si="4"/>
        <v>NG</v>
      </c>
      <c r="Q29" s="8" t="s">
        <v>47</v>
      </c>
      <c r="R29" s="5"/>
    </row>
    <row r="30" spans="1:52" ht="15.75" thickBot="1">
      <c r="B30" s="3">
        <v>44221</v>
      </c>
      <c r="C30" s="1" t="s">
        <v>4</v>
      </c>
      <c r="D30" s="1" t="s">
        <v>14</v>
      </c>
      <c r="E30" s="2" t="s">
        <v>55</v>
      </c>
      <c r="H30" s="3">
        <v>44172</v>
      </c>
      <c r="I30" s="1" t="s">
        <v>2</v>
      </c>
      <c r="J30" s="1" t="s">
        <v>23</v>
      </c>
      <c r="K30" s="2" t="s">
        <v>32</v>
      </c>
      <c r="M30" s="4" t="str">
        <f t="shared" ref="M30:M31" si="13">IF(B30=H30, "OK","NG")</f>
        <v>NG</v>
      </c>
      <c r="N30" s="4" t="str">
        <f t="shared" ref="N30:N31" si="14">IF(C30=I30, "OK","NG")</f>
        <v>NG</v>
      </c>
      <c r="O30" s="4" t="str">
        <f t="shared" ref="O30:O31" si="15">IF(D30=J30, "OK","NG")</f>
        <v>NG</v>
      </c>
      <c r="P30" s="4" t="str">
        <f t="shared" ref="P30:P31" si="16">IF(E30=K30, "OK","NG")</f>
        <v>NG</v>
      </c>
      <c r="Q30" s="8" t="s">
        <v>47</v>
      </c>
      <c r="R30" s="5"/>
    </row>
    <row r="31" spans="1:52" s="40" customFormat="1" ht="15.75" thickBot="1">
      <c r="B31" s="39" t="s">
        <v>38</v>
      </c>
      <c r="C31" s="29" t="s">
        <v>4</v>
      </c>
      <c r="D31" s="29" t="s">
        <v>10</v>
      </c>
      <c r="E31" s="30" t="s">
        <v>52</v>
      </c>
      <c r="H31" s="3">
        <v>44172</v>
      </c>
      <c r="I31" s="1" t="s">
        <v>4</v>
      </c>
      <c r="J31" s="1" t="s">
        <v>41</v>
      </c>
      <c r="K31" s="2" t="s">
        <v>40</v>
      </c>
      <c r="M31" s="44" t="str">
        <f t="shared" si="13"/>
        <v>NG</v>
      </c>
      <c r="N31" s="44" t="str">
        <f t="shared" si="14"/>
        <v>OK</v>
      </c>
      <c r="O31" s="44" t="str">
        <f t="shared" si="15"/>
        <v>NG</v>
      </c>
      <c r="P31" s="44" t="str">
        <f t="shared" si="16"/>
        <v>NG</v>
      </c>
      <c r="Q31" s="32" t="s">
        <v>67</v>
      </c>
    </row>
    <row r="32" spans="1:52" ht="15.75" thickBot="1">
      <c r="B32" s="16" t="s">
        <v>38</v>
      </c>
      <c r="C32" s="1" t="s">
        <v>4</v>
      </c>
      <c r="D32" s="1" t="s">
        <v>6</v>
      </c>
      <c r="E32" s="2" t="s">
        <v>27</v>
      </c>
      <c r="H32" s="3">
        <v>44172</v>
      </c>
      <c r="I32" s="1" t="s">
        <v>4</v>
      </c>
      <c r="J32" s="1" t="s">
        <v>41</v>
      </c>
      <c r="K32" s="2" t="s">
        <v>29</v>
      </c>
      <c r="M32" s="4" t="str">
        <f t="shared" si="1"/>
        <v>NG</v>
      </c>
      <c r="N32" s="4" t="str">
        <f t="shared" si="2"/>
        <v>OK</v>
      </c>
      <c r="O32" s="4" t="str">
        <f t="shared" si="3"/>
        <v>NG</v>
      </c>
      <c r="P32" s="4" t="str">
        <f t="shared" si="4"/>
        <v>NG</v>
      </c>
      <c r="Q32" s="8" t="s">
        <v>47</v>
      </c>
      <c r="R32" s="5"/>
    </row>
    <row r="33" spans="2:18" ht="15.75" thickBot="1">
      <c r="B33" s="3">
        <v>44140</v>
      </c>
      <c r="C33" s="1" t="s">
        <v>2</v>
      </c>
      <c r="D33" s="1" t="s">
        <v>17</v>
      </c>
      <c r="E33" s="2" t="s">
        <v>30</v>
      </c>
      <c r="H33" s="3">
        <v>44172</v>
      </c>
      <c r="I33" s="1" t="s">
        <v>4</v>
      </c>
      <c r="J33" s="1" t="s">
        <v>10</v>
      </c>
      <c r="K33" s="2" t="s">
        <v>42</v>
      </c>
      <c r="M33" s="4" t="str">
        <f t="shared" si="1"/>
        <v>NG</v>
      </c>
      <c r="N33" s="4" t="str">
        <f t="shared" si="2"/>
        <v>NG</v>
      </c>
      <c r="O33" s="4" t="str">
        <f t="shared" si="3"/>
        <v>NG</v>
      </c>
      <c r="P33" s="4" t="str">
        <f t="shared" si="4"/>
        <v>NG</v>
      </c>
      <c r="Q33" s="8" t="s">
        <v>47</v>
      </c>
      <c r="R33" s="5"/>
    </row>
    <row r="34" spans="2:18" ht="15.75" thickBot="1">
      <c r="B34" s="3">
        <v>44140</v>
      </c>
      <c r="C34" s="1" t="s">
        <v>2</v>
      </c>
      <c r="D34" s="1" t="s">
        <v>17</v>
      </c>
      <c r="E34" s="2" t="s">
        <v>31</v>
      </c>
      <c r="H34" s="13">
        <v>44179</v>
      </c>
      <c r="I34" s="14" t="s">
        <v>4</v>
      </c>
      <c r="J34" s="14" t="s">
        <v>5</v>
      </c>
      <c r="K34" s="2" t="s">
        <v>54</v>
      </c>
      <c r="M34" s="4" t="str">
        <f t="shared" si="1"/>
        <v>NG</v>
      </c>
      <c r="N34" s="4" t="str">
        <f t="shared" si="2"/>
        <v>NG</v>
      </c>
      <c r="O34" s="4" t="str">
        <f t="shared" si="3"/>
        <v>NG</v>
      </c>
      <c r="P34" s="4" t="str">
        <f t="shared" si="4"/>
        <v>NG</v>
      </c>
      <c r="Q34" s="8" t="s">
        <v>47</v>
      </c>
      <c r="R34" s="5"/>
    </row>
    <row r="35" spans="2:18" ht="15.75" thickBot="1">
      <c r="B35" s="3">
        <v>44148</v>
      </c>
      <c r="C35" s="1" t="s">
        <v>2</v>
      </c>
      <c r="D35" s="1" t="s">
        <v>21</v>
      </c>
      <c r="E35" s="2" t="s">
        <v>36</v>
      </c>
      <c r="H35" s="12">
        <v>44207</v>
      </c>
      <c r="I35" s="10" t="s">
        <v>4</v>
      </c>
      <c r="J35" s="10" t="s">
        <v>14</v>
      </c>
      <c r="K35" s="2" t="s">
        <v>50</v>
      </c>
      <c r="M35" s="4" t="str">
        <f t="shared" si="1"/>
        <v>NG</v>
      </c>
      <c r="N35" s="4" t="str">
        <f t="shared" si="2"/>
        <v>NG</v>
      </c>
      <c r="O35" s="4" t="str">
        <f t="shared" si="3"/>
        <v>NG</v>
      </c>
      <c r="P35" s="4" t="str">
        <f t="shared" si="4"/>
        <v>NG</v>
      </c>
      <c r="Q35" s="8" t="s">
        <v>47</v>
      </c>
    </row>
    <row r="36" spans="2:18" ht="15.75" thickBot="1">
      <c r="B36" s="13">
        <v>44166</v>
      </c>
      <c r="C36" s="14" t="s">
        <v>2</v>
      </c>
      <c r="D36" s="14" t="s">
        <v>17</v>
      </c>
      <c r="E36" s="2" t="s">
        <v>25</v>
      </c>
      <c r="H36" s="3">
        <v>44207</v>
      </c>
      <c r="I36" s="1" t="s">
        <v>4</v>
      </c>
      <c r="J36" s="1" t="s">
        <v>5</v>
      </c>
      <c r="K36" s="2" t="s">
        <v>52</v>
      </c>
      <c r="M36" s="4" t="str">
        <f t="shared" si="1"/>
        <v>NG</v>
      </c>
      <c r="N36" s="4" t="str">
        <f t="shared" si="2"/>
        <v>NG</v>
      </c>
      <c r="O36" s="4" t="str">
        <f t="shared" si="3"/>
        <v>NG</v>
      </c>
      <c r="P36" s="4" t="str">
        <f t="shared" si="4"/>
        <v>NG</v>
      </c>
      <c r="Q36" s="8" t="s">
        <v>47</v>
      </c>
      <c r="R36" s="5"/>
    </row>
    <row r="37" spans="2:18" ht="15.75" thickBot="1">
      <c r="B37" s="22">
        <v>44166</v>
      </c>
      <c r="C37" s="23" t="s">
        <v>2</v>
      </c>
      <c r="D37" s="23" t="s">
        <v>17</v>
      </c>
      <c r="E37" s="15" t="s">
        <v>26</v>
      </c>
      <c r="H37" s="3">
        <v>44211</v>
      </c>
      <c r="I37" s="1" t="s">
        <v>2</v>
      </c>
      <c r="J37" s="1" t="s">
        <v>21</v>
      </c>
      <c r="K37" s="2" t="s">
        <v>25</v>
      </c>
      <c r="M37" s="4" t="str">
        <f t="shared" si="1"/>
        <v>NG</v>
      </c>
      <c r="N37" s="4" t="str">
        <f t="shared" si="2"/>
        <v>OK</v>
      </c>
      <c r="O37" s="4" t="str">
        <f t="shared" si="3"/>
        <v>NG</v>
      </c>
      <c r="P37" s="4" t="str">
        <f t="shared" si="4"/>
        <v>NG</v>
      </c>
      <c r="Q37" s="8" t="s">
        <v>47</v>
      </c>
    </row>
    <row r="38" spans="2:18" ht="15.75" thickBot="1">
      <c r="B38" s="12">
        <v>44166</v>
      </c>
      <c r="C38" s="10" t="s">
        <v>2</v>
      </c>
      <c r="D38" s="10" t="s">
        <v>7</v>
      </c>
      <c r="E38" s="11" t="s">
        <v>24</v>
      </c>
      <c r="H38" s="3">
        <v>44211</v>
      </c>
      <c r="I38" s="1" t="s">
        <v>2</v>
      </c>
      <c r="J38" s="1" t="s">
        <v>21</v>
      </c>
      <c r="K38" s="2" t="s">
        <v>26</v>
      </c>
      <c r="M38" s="4" t="str">
        <f t="shared" si="1"/>
        <v>NG</v>
      </c>
      <c r="N38" s="4" t="str">
        <f t="shared" si="2"/>
        <v>OK</v>
      </c>
      <c r="O38" s="4" t="str">
        <f t="shared" si="3"/>
        <v>NG</v>
      </c>
      <c r="P38" s="4" t="str">
        <f t="shared" si="4"/>
        <v>NG</v>
      </c>
      <c r="Q38" s="8" t="s">
        <v>47</v>
      </c>
    </row>
    <row r="39" spans="2:18" ht="15.75" thickBot="1">
      <c r="B39" s="28">
        <v>44168</v>
      </c>
      <c r="C39" s="29" t="s">
        <v>2</v>
      </c>
      <c r="D39" s="29" t="s">
        <v>20</v>
      </c>
      <c r="E39" s="30" t="s">
        <v>37</v>
      </c>
      <c r="H39" s="3">
        <v>44215</v>
      </c>
      <c r="I39" s="1" t="s">
        <v>4</v>
      </c>
      <c r="J39" s="1" t="s">
        <v>11</v>
      </c>
      <c r="K39" s="2" t="s">
        <v>48</v>
      </c>
      <c r="M39" s="4" t="str">
        <f t="shared" si="1"/>
        <v>NG</v>
      </c>
      <c r="N39" s="4" t="str">
        <f t="shared" si="2"/>
        <v>NG</v>
      </c>
      <c r="O39" s="4" t="str">
        <f t="shared" si="3"/>
        <v>NG</v>
      </c>
      <c r="P39" s="4" t="str">
        <f t="shared" si="4"/>
        <v>NG</v>
      </c>
      <c r="Q39" s="8" t="s">
        <v>47</v>
      </c>
    </row>
    <row r="40" spans="2:18" ht="15.75" thickBot="1">
      <c r="B40" s="28">
        <v>44172</v>
      </c>
      <c r="C40" s="29" t="s">
        <v>2</v>
      </c>
      <c r="D40" s="29" t="s">
        <v>23</v>
      </c>
      <c r="E40" s="30" t="s">
        <v>32</v>
      </c>
      <c r="H40" s="3">
        <v>44215</v>
      </c>
      <c r="I40" s="1" t="s">
        <v>4</v>
      </c>
      <c r="J40" s="1" t="s">
        <v>5</v>
      </c>
      <c r="K40" s="2" t="s">
        <v>42</v>
      </c>
      <c r="M40" s="4" t="str">
        <f t="shared" si="1"/>
        <v>NG</v>
      </c>
      <c r="N40" s="4" t="str">
        <f t="shared" si="2"/>
        <v>NG</v>
      </c>
      <c r="O40" s="4" t="str">
        <f t="shared" si="3"/>
        <v>NG</v>
      </c>
      <c r="P40" s="4" t="str">
        <f t="shared" si="4"/>
        <v>NG</v>
      </c>
      <c r="Q40" s="8" t="s">
        <v>47</v>
      </c>
    </row>
    <row r="41" spans="2:18" ht="15.75" thickBot="1">
      <c r="B41" s="28">
        <v>44211</v>
      </c>
      <c r="C41" s="29" t="s">
        <v>2</v>
      </c>
      <c r="D41" s="29" t="s">
        <v>21</v>
      </c>
      <c r="E41" s="30" t="s">
        <v>25</v>
      </c>
      <c r="H41" s="3">
        <v>44216</v>
      </c>
      <c r="I41" s="1" t="s">
        <v>2</v>
      </c>
      <c r="J41" s="1" t="s">
        <v>3</v>
      </c>
      <c r="K41" s="2" t="s">
        <v>51</v>
      </c>
      <c r="M41" s="4" t="str">
        <f t="shared" si="1"/>
        <v>NG</v>
      </c>
      <c r="N41" s="4" t="str">
        <f t="shared" si="2"/>
        <v>OK</v>
      </c>
      <c r="O41" s="4" t="str">
        <f t="shared" si="3"/>
        <v>NG</v>
      </c>
      <c r="P41" s="4" t="str">
        <f t="shared" si="4"/>
        <v>NG</v>
      </c>
      <c r="Q41" s="8" t="s">
        <v>47</v>
      </c>
    </row>
    <row r="42" spans="2:18" ht="15.75" thickBot="1">
      <c r="B42" s="28">
        <v>44211</v>
      </c>
      <c r="C42" s="29" t="s">
        <v>2</v>
      </c>
      <c r="D42" s="29" t="s">
        <v>21</v>
      </c>
      <c r="E42" s="30" t="s">
        <v>26</v>
      </c>
      <c r="H42" s="3">
        <v>44221</v>
      </c>
      <c r="I42" s="1" t="s">
        <v>4</v>
      </c>
      <c r="J42" s="1" t="s">
        <v>14</v>
      </c>
      <c r="K42" s="2" t="s">
        <v>55</v>
      </c>
      <c r="M42" s="4" t="str">
        <f t="shared" si="1"/>
        <v>NG</v>
      </c>
      <c r="N42" s="4" t="str">
        <f t="shared" si="2"/>
        <v>NG</v>
      </c>
      <c r="O42" s="4" t="str">
        <f t="shared" si="3"/>
        <v>NG</v>
      </c>
      <c r="P42" s="4" t="str">
        <f t="shared" si="4"/>
        <v>NG</v>
      </c>
      <c r="Q42" s="8" t="s">
        <v>47</v>
      </c>
    </row>
    <row r="43" spans="2:18" ht="15.75" thickBot="1">
      <c r="B43" s="28">
        <v>44216</v>
      </c>
      <c r="C43" s="29" t="s">
        <v>2</v>
      </c>
      <c r="D43" s="29" t="s">
        <v>3</v>
      </c>
      <c r="E43" s="30" t="s">
        <v>51</v>
      </c>
      <c r="H43" s="3">
        <v>44221</v>
      </c>
      <c r="I43" s="1" t="s">
        <v>2</v>
      </c>
      <c r="J43" s="1" t="s">
        <v>7</v>
      </c>
      <c r="K43" s="2" t="s">
        <v>32</v>
      </c>
      <c r="M43" s="4" t="str">
        <f t="shared" si="1"/>
        <v>NG</v>
      </c>
      <c r="N43" s="4" t="str">
        <f t="shared" si="2"/>
        <v>OK</v>
      </c>
      <c r="O43" s="4" t="str">
        <f t="shared" si="3"/>
        <v>NG</v>
      </c>
      <c r="P43" s="4" t="str">
        <f t="shared" si="4"/>
        <v>NG</v>
      </c>
      <c r="Q43" s="8" t="s">
        <v>47</v>
      </c>
    </row>
    <row r="44" spans="2:18" s="40" customFormat="1" ht="15.75" thickBot="1">
      <c r="B44" s="28">
        <v>44221</v>
      </c>
      <c r="C44" s="29" t="s">
        <v>2</v>
      </c>
      <c r="D44" s="29" t="s">
        <v>23</v>
      </c>
      <c r="E44" s="30" t="s">
        <v>25</v>
      </c>
      <c r="H44" s="3">
        <v>44222</v>
      </c>
      <c r="I44" s="1" t="s">
        <v>4</v>
      </c>
      <c r="J44" s="1" t="s">
        <v>11</v>
      </c>
      <c r="K44" s="2" t="s">
        <v>19</v>
      </c>
      <c r="M44" s="44" t="str">
        <f t="shared" si="1"/>
        <v>NG</v>
      </c>
      <c r="N44" s="44" t="str">
        <f t="shared" si="2"/>
        <v>NG</v>
      </c>
      <c r="O44" s="44" t="str">
        <f t="shared" si="3"/>
        <v>NG</v>
      </c>
      <c r="P44" s="44" t="str">
        <f t="shared" si="4"/>
        <v>NG</v>
      </c>
      <c r="Q44" s="21" t="s">
        <v>58</v>
      </c>
    </row>
    <row r="45" spans="2:18" s="40" customFormat="1" ht="15.75" thickBot="1">
      <c r="B45" s="28">
        <v>44221</v>
      </c>
      <c r="C45" s="29" t="s">
        <v>2</v>
      </c>
      <c r="D45" s="29" t="s">
        <v>23</v>
      </c>
      <c r="E45" s="30" t="s">
        <v>26</v>
      </c>
      <c r="H45" s="3"/>
      <c r="I45" s="1"/>
      <c r="J45" s="1"/>
      <c r="K45" s="2"/>
      <c r="M45" s="44" t="str">
        <f t="shared" si="1"/>
        <v>NG</v>
      </c>
      <c r="N45" s="44" t="str">
        <f t="shared" si="2"/>
        <v>NG</v>
      </c>
      <c r="O45" s="44" t="str">
        <f t="shared" si="3"/>
        <v>NG</v>
      </c>
      <c r="P45" s="44" t="str">
        <f t="shared" si="4"/>
        <v>NG</v>
      </c>
      <c r="Q45" s="21" t="s">
        <v>58</v>
      </c>
    </row>
    <row r="46" spans="2:18" s="40" customFormat="1" ht="15.75" thickBot="1">
      <c r="B46" s="28">
        <v>44221</v>
      </c>
      <c r="C46" s="29" t="s">
        <v>2</v>
      </c>
      <c r="D46" s="29" t="s">
        <v>7</v>
      </c>
      <c r="E46" s="30" t="s">
        <v>32</v>
      </c>
      <c r="H46" s="3"/>
      <c r="I46" s="1"/>
      <c r="J46" s="1"/>
      <c r="K46" s="2"/>
      <c r="M46" s="44" t="str">
        <f t="shared" si="1"/>
        <v>NG</v>
      </c>
      <c r="N46" s="44" t="str">
        <f t="shared" si="2"/>
        <v>NG</v>
      </c>
      <c r="O46" s="44" t="str">
        <f t="shared" si="3"/>
        <v>NG</v>
      </c>
      <c r="P46" s="44" t="str">
        <f t="shared" si="4"/>
        <v>NG</v>
      </c>
      <c r="Q46" s="8" t="s">
        <v>47</v>
      </c>
    </row>
    <row r="47" spans="2:18" s="40" customFormat="1" ht="15.75" thickBot="1">
      <c r="B47" s="39" t="s">
        <v>38</v>
      </c>
      <c r="C47" s="29" t="s">
        <v>2</v>
      </c>
      <c r="D47" s="29" t="s">
        <v>20</v>
      </c>
      <c r="E47" s="30" t="s">
        <v>12</v>
      </c>
      <c r="H47" s="16"/>
      <c r="I47" s="1"/>
      <c r="J47" s="1"/>
      <c r="K47" s="2"/>
      <c r="M47" s="44" t="str">
        <f t="shared" si="1"/>
        <v>NG</v>
      </c>
      <c r="N47" s="44" t="str">
        <f t="shared" si="2"/>
        <v>NG</v>
      </c>
      <c r="O47" s="44" t="str">
        <f t="shared" si="3"/>
        <v>NG</v>
      </c>
      <c r="P47" s="44" t="str">
        <f t="shared" si="4"/>
        <v>NG</v>
      </c>
      <c r="Q47" s="32" t="s">
        <v>68</v>
      </c>
    </row>
    <row r="48" spans="2:18" s="40" customFormat="1" ht="15.75" thickBot="1">
      <c r="B48" s="39" t="s">
        <v>38</v>
      </c>
      <c r="C48" s="29" t="s">
        <v>2</v>
      </c>
      <c r="D48" s="29" t="s">
        <v>20</v>
      </c>
      <c r="E48" s="30" t="s">
        <v>13</v>
      </c>
      <c r="H48" s="16"/>
      <c r="I48" s="1"/>
      <c r="J48" s="1"/>
      <c r="K48" s="2"/>
      <c r="M48" s="44" t="str">
        <f t="shared" si="1"/>
        <v>NG</v>
      </c>
      <c r="N48" s="44" t="str">
        <f t="shared" si="2"/>
        <v>NG</v>
      </c>
      <c r="O48" s="44" t="str">
        <f t="shared" si="3"/>
        <v>NG</v>
      </c>
      <c r="P48" s="44" t="str">
        <f t="shared" si="4"/>
        <v>NG</v>
      </c>
      <c r="Q48" s="32" t="s">
        <v>68</v>
      </c>
    </row>
    <row r="49" spans="1:17" ht="15.75" thickBot="1">
      <c r="B49" s="3"/>
      <c r="C49" s="1"/>
      <c r="D49" s="1"/>
      <c r="E49" s="2"/>
      <c r="H49" s="3"/>
      <c r="I49" s="1"/>
      <c r="J49" s="1"/>
      <c r="K49" s="2"/>
      <c r="M49" s="4" t="str">
        <f>IF(B49=H49, "OK","NG")</f>
        <v>OK</v>
      </c>
      <c r="N49" s="4" t="str">
        <f>IF(C49=I49, "OK","NG")</f>
        <v>OK</v>
      </c>
      <c r="O49" s="4" t="str">
        <f>IF(D49=J49, "OK","NG")</f>
        <v>OK</v>
      </c>
      <c r="P49" s="4" t="str">
        <f>IF(E49=K49, "OK","NG")</f>
        <v>OK</v>
      </c>
      <c r="Q49" s="21" t="s">
        <v>59</v>
      </c>
    </row>
    <row r="50" spans="1:17" ht="15.75" thickBot="1">
      <c r="B50" s="12"/>
      <c r="C50" s="10"/>
      <c r="D50" s="10"/>
      <c r="E50" s="11"/>
      <c r="H50" s="3"/>
      <c r="I50" s="1"/>
      <c r="J50" s="1"/>
      <c r="K50" s="2"/>
      <c r="M50" s="4" t="str">
        <f>IF(B50=H30, "OK","NG")</f>
        <v>NG</v>
      </c>
      <c r="N50" s="4" t="str">
        <f>IF(C50=I30, "OK","NG")</f>
        <v>NG</v>
      </c>
      <c r="O50" s="4" t="str">
        <f>IF(D50=J30, "OK","NG")</f>
        <v>NG</v>
      </c>
      <c r="P50" s="4" t="str">
        <f>IF(E50=K30, "OK","NG")</f>
        <v>NG</v>
      </c>
      <c r="Q50" s="21" t="s">
        <v>59</v>
      </c>
    </row>
    <row r="51" spans="1:17" ht="15.75" thickBot="1">
      <c r="B51" s="3"/>
      <c r="C51" s="1"/>
      <c r="D51" s="1"/>
      <c r="E51" s="2"/>
      <c r="H51" s="43"/>
      <c r="I51" s="41"/>
      <c r="J51" s="41"/>
      <c r="K51" s="42"/>
      <c r="M51" s="4" t="str">
        <f>IF(B51=H50, "OK","NG")</f>
        <v>OK</v>
      </c>
      <c r="N51" s="4" t="str">
        <f>IF(C51=I50, "OK","NG")</f>
        <v>OK</v>
      </c>
      <c r="O51" s="4" t="str">
        <f>IF(D51=J50, "OK","NG")</f>
        <v>OK</v>
      </c>
      <c r="P51" s="4" t="str">
        <f>IF(E51=K50, "OK","NG")</f>
        <v>OK</v>
      </c>
      <c r="Q51" s="21" t="s">
        <v>59</v>
      </c>
    </row>
    <row r="52" spans="1:17">
      <c r="A52" s="17"/>
      <c r="B52" s="33"/>
      <c r="C52" s="34"/>
      <c r="D52" s="34"/>
      <c r="E52" s="35"/>
      <c r="F52" s="17"/>
      <c r="M52" s="36"/>
      <c r="N52" s="36"/>
      <c r="O52" s="36"/>
      <c r="P52" s="36"/>
      <c r="Q52" s="37"/>
    </row>
    <row r="53" spans="1:17">
      <c r="A53" s="17"/>
      <c r="B53" s="33"/>
      <c r="C53" s="34"/>
      <c r="D53" s="34"/>
      <c r="E53" s="35"/>
      <c r="F53" s="17"/>
      <c r="G53" s="17"/>
      <c r="M53" s="36"/>
      <c r="N53" s="36"/>
      <c r="O53" s="36"/>
      <c r="P53" s="36"/>
      <c r="Q53" s="38"/>
    </row>
    <row r="54" spans="1:17">
      <c r="A54" s="17"/>
      <c r="B54" s="33"/>
      <c r="C54" s="34"/>
      <c r="D54" s="34"/>
      <c r="E54" s="35"/>
      <c r="F54" s="17"/>
      <c r="G54" s="17"/>
      <c r="M54" s="36"/>
      <c r="N54" s="36"/>
      <c r="O54" s="36"/>
      <c r="P54" s="36"/>
      <c r="Q54" s="38"/>
    </row>
    <row r="55" spans="1:17">
      <c r="A55" s="17"/>
      <c r="B55" s="33"/>
      <c r="C55" s="34"/>
      <c r="D55" s="34"/>
      <c r="E55" s="35"/>
      <c r="F55" s="17"/>
      <c r="G55" s="17"/>
      <c r="M55" s="36"/>
      <c r="N55" s="36"/>
      <c r="O55" s="36"/>
      <c r="P55" s="36"/>
      <c r="Q55" s="38"/>
    </row>
    <row r="56" spans="1:17">
      <c r="A56" s="17"/>
      <c r="B56" s="34"/>
      <c r="C56" s="34"/>
      <c r="D56" s="34"/>
      <c r="E56" s="35"/>
      <c r="F56" s="17"/>
      <c r="G56" s="17"/>
      <c r="M56" s="36"/>
      <c r="N56" s="36"/>
      <c r="O56" s="36"/>
      <c r="P56" s="36"/>
      <c r="Q56" s="38"/>
    </row>
    <row r="57" spans="1:17">
      <c r="A57" s="17"/>
      <c r="B57" s="34"/>
      <c r="C57" s="34"/>
      <c r="D57" s="34"/>
      <c r="E57" s="35"/>
      <c r="F57" s="17"/>
      <c r="G57" s="17"/>
      <c r="M57" s="36"/>
      <c r="N57" s="36"/>
      <c r="O57" s="36"/>
      <c r="P57" s="36"/>
      <c r="Q57" s="38"/>
    </row>
    <row r="58" spans="1:17">
      <c r="A58" s="17"/>
      <c r="B58" s="33"/>
      <c r="C58" s="34"/>
      <c r="D58" s="34"/>
      <c r="E58" s="35"/>
      <c r="F58" s="17"/>
      <c r="G58" s="17"/>
      <c r="M58" s="38"/>
      <c r="N58" s="38"/>
      <c r="O58" s="38"/>
      <c r="P58" s="38"/>
      <c r="Q58" s="38"/>
    </row>
    <row r="59" spans="1:17">
      <c r="A59" s="17"/>
      <c r="B59" s="33"/>
      <c r="C59" s="34"/>
      <c r="D59" s="34"/>
      <c r="E59" s="35"/>
      <c r="F59" s="17"/>
      <c r="G59" s="17"/>
    </row>
  </sheetData>
  <autoFilter ref="B4:R48">
    <filterColumn colId="0" showButton="0"/>
    <filterColumn colId="1" showButton="0"/>
    <filterColumn colId="6" showButton="0"/>
    <filterColumn colId="7" showButton="0"/>
    <filterColumn colId="11" showButton="0"/>
    <filterColumn colId="12" showButton="0"/>
  </autoFilter>
  <sortState ref="H5:K48">
    <sortCondition ref="H5"/>
  </sortState>
  <mergeCells count="10">
    <mergeCell ref="B2:E2"/>
    <mergeCell ref="H2:K2"/>
    <mergeCell ref="M2:Q2"/>
    <mergeCell ref="B3:D4"/>
    <mergeCell ref="E3:E4"/>
    <mergeCell ref="H3:J4"/>
    <mergeCell ref="K3:K4"/>
    <mergeCell ref="M3:O4"/>
    <mergeCell ref="P3:P4"/>
    <mergeCell ref="Q3:Q4"/>
  </mergeCells>
  <phoneticPr fontId="3"/>
  <conditionalFormatting sqref="M5:P57">
    <cfRule type="cellIs" dxfId="5" priority="81" operator="equal">
      <formula>"NG"</formula>
    </cfRule>
    <cfRule type="cellIs" dxfId="4" priority="82" operator="equal">
      <formula>"OK"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48"/>
  <sheetViews>
    <sheetView topLeftCell="A25" workbookViewId="0">
      <selection activeCell="J11" sqref="J11"/>
    </sheetView>
  </sheetViews>
  <sheetFormatPr defaultRowHeight="15"/>
  <cols>
    <col min="2" max="2" width="12" bestFit="1" customWidth="1"/>
    <col min="3" max="3" width="5.7109375" bestFit="1" customWidth="1"/>
    <col min="4" max="4" width="5.28515625" bestFit="1" customWidth="1"/>
    <col min="5" max="5" width="27.28515625" bestFit="1" customWidth="1"/>
    <col min="7" max="7" width="12.5703125" bestFit="1" customWidth="1"/>
    <col min="8" max="8" width="5.7109375" bestFit="1" customWidth="1"/>
    <col min="9" max="9" width="11.85546875" bestFit="1" customWidth="1"/>
    <col min="10" max="10" width="35.5703125" customWidth="1"/>
  </cols>
  <sheetData>
    <row r="1" spans="2:15" ht="15.75" thickBot="1">
      <c r="B1" s="45" t="s">
        <v>45</v>
      </c>
      <c r="C1" s="45"/>
      <c r="D1" s="45"/>
      <c r="E1" s="45"/>
      <c r="G1" s="45" t="s">
        <v>44</v>
      </c>
      <c r="H1" s="45"/>
      <c r="I1" s="45"/>
      <c r="J1" s="45"/>
      <c r="L1" s="45" t="s">
        <v>39</v>
      </c>
      <c r="M1" s="45"/>
      <c r="N1" s="45"/>
      <c r="O1" s="45"/>
    </row>
    <row r="2" spans="2:15" ht="15.75" thickBot="1">
      <c r="B2" s="62" t="s">
        <v>0</v>
      </c>
      <c r="C2" s="63"/>
      <c r="D2" s="64"/>
      <c r="E2" s="9" t="s">
        <v>1</v>
      </c>
      <c r="G2" s="62" t="s">
        <v>0</v>
      </c>
      <c r="H2" s="63"/>
      <c r="I2" s="64"/>
      <c r="J2" s="9" t="s">
        <v>1</v>
      </c>
      <c r="L2" s="62" t="s">
        <v>0</v>
      </c>
      <c r="M2" s="63"/>
      <c r="N2" s="64"/>
      <c r="O2" s="9" t="s">
        <v>1</v>
      </c>
    </row>
    <row r="3" spans="2:15" ht="15.75" thickBot="1">
      <c r="G3" s="18">
        <v>44125</v>
      </c>
      <c r="H3" s="1" t="s">
        <v>4</v>
      </c>
      <c r="I3" s="1" t="s">
        <v>14</v>
      </c>
      <c r="J3" s="2" t="s">
        <v>53</v>
      </c>
      <c r="L3" s="4"/>
      <c r="M3" s="4"/>
      <c r="N3" s="4"/>
      <c r="O3" s="4"/>
    </row>
    <row r="4" spans="2:15" ht="15.75" thickBot="1">
      <c r="B4" s="18">
        <v>44126</v>
      </c>
      <c r="C4" s="1" t="s">
        <v>4</v>
      </c>
      <c r="D4" s="1" t="s">
        <v>10</v>
      </c>
      <c r="E4" s="2" t="s">
        <v>35</v>
      </c>
      <c r="G4" s="18">
        <v>44126</v>
      </c>
      <c r="H4" s="1" t="s">
        <v>4</v>
      </c>
      <c r="I4" s="1" t="s">
        <v>10</v>
      </c>
      <c r="J4" s="2" t="s">
        <v>35</v>
      </c>
      <c r="L4" s="4" t="str">
        <f t="shared" ref="L4" si="0">IF(B4=G4, "OK","NG")</f>
        <v>OK</v>
      </c>
      <c r="M4" s="4" t="str">
        <f t="shared" ref="M4" si="1">IF(C4=H4, "OK","NG")</f>
        <v>OK</v>
      </c>
      <c r="N4" s="4" t="str">
        <f t="shared" ref="N4" si="2">IF(D4=I4, "OK","NG")</f>
        <v>OK</v>
      </c>
      <c r="O4" s="4" t="str">
        <f t="shared" ref="O4" si="3">IF(E4=J4, "OK","NG")</f>
        <v>OK</v>
      </c>
    </row>
    <row r="5" spans="2:15" ht="15.75" thickBot="1">
      <c r="G5" s="18">
        <v>44131</v>
      </c>
      <c r="H5" s="1" t="s">
        <v>4</v>
      </c>
      <c r="I5" s="1" t="s">
        <v>6</v>
      </c>
      <c r="J5" s="2" t="s">
        <v>28</v>
      </c>
      <c r="L5" s="4"/>
      <c r="M5" s="4"/>
      <c r="N5" s="4"/>
      <c r="O5" s="4"/>
    </row>
    <row r="6" spans="2:15" ht="15.75" thickBot="1">
      <c r="G6" s="18">
        <v>44133</v>
      </c>
      <c r="H6" s="1" t="s">
        <v>4</v>
      </c>
      <c r="I6" s="1" t="s">
        <v>14</v>
      </c>
      <c r="J6" s="2" t="s">
        <v>15</v>
      </c>
      <c r="L6" s="4"/>
      <c r="M6" s="4"/>
      <c r="N6" s="4"/>
      <c r="O6" s="4"/>
    </row>
    <row r="7" spans="2:15" ht="15.75" thickBot="1">
      <c r="G7" s="18">
        <v>44133</v>
      </c>
      <c r="H7" s="1" t="s">
        <v>4</v>
      </c>
      <c r="I7" s="1" t="s">
        <v>14</v>
      </c>
      <c r="J7" s="2" t="s">
        <v>48</v>
      </c>
      <c r="L7" s="4"/>
      <c r="M7" s="4"/>
      <c r="N7" s="4"/>
      <c r="O7" s="4"/>
    </row>
    <row r="8" spans="2:15" ht="15.75" thickBot="1">
      <c r="G8" s="18">
        <v>44133</v>
      </c>
      <c r="H8" s="1" t="s">
        <v>4</v>
      </c>
      <c r="I8" s="1" t="s">
        <v>11</v>
      </c>
      <c r="J8" s="2" t="s">
        <v>43</v>
      </c>
      <c r="L8" s="4"/>
      <c r="M8" s="4"/>
      <c r="N8" s="4"/>
      <c r="O8" s="4"/>
    </row>
    <row r="9" spans="2:15" ht="15.75" thickBot="1">
      <c r="G9" s="3">
        <v>44141</v>
      </c>
      <c r="H9" s="1" t="s">
        <v>4</v>
      </c>
      <c r="I9" s="1" t="s">
        <v>14</v>
      </c>
      <c r="J9" s="2" t="s">
        <v>19</v>
      </c>
      <c r="L9" s="4"/>
      <c r="M9" s="4"/>
      <c r="N9" s="4"/>
      <c r="O9" s="4"/>
    </row>
    <row r="10" spans="2:15" ht="15.75" thickBot="1">
      <c r="G10" s="3">
        <v>44145</v>
      </c>
      <c r="H10" s="1" t="s">
        <v>4</v>
      </c>
      <c r="I10" s="1" t="s">
        <v>10</v>
      </c>
      <c r="J10" s="2" t="s">
        <v>54</v>
      </c>
      <c r="L10" s="4"/>
      <c r="M10" s="4"/>
      <c r="N10" s="4"/>
      <c r="O10" s="4"/>
    </row>
    <row r="11" spans="2:15" ht="15.75" thickBot="1">
      <c r="B11" s="3">
        <v>44147</v>
      </c>
      <c r="C11" s="1" t="s">
        <v>4</v>
      </c>
      <c r="D11" s="1" t="s">
        <v>46</v>
      </c>
      <c r="E11" s="2" t="s">
        <v>49</v>
      </c>
      <c r="G11" s="3">
        <v>44147</v>
      </c>
      <c r="H11" s="1" t="s">
        <v>4</v>
      </c>
      <c r="I11" s="1" t="s">
        <v>46</v>
      </c>
      <c r="J11" s="2" t="s">
        <v>49</v>
      </c>
      <c r="L11" s="4" t="str">
        <f>IF(B11=G11, "OK","NG")</f>
        <v>OK</v>
      </c>
      <c r="M11" s="4" t="str">
        <f>IF(C11=H11, "OK","NG")</f>
        <v>OK</v>
      </c>
      <c r="N11" s="4" t="str">
        <f t="shared" ref="N11:O11" si="4">IF(D11=I11, "OK","NG")</f>
        <v>OK</v>
      </c>
      <c r="O11" s="4" t="str">
        <f t="shared" si="4"/>
        <v>OK</v>
      </c>
    </row>
    <row r="12" spans="2:15" ht="15.75" thickBot="1">
      <c r="B12" s="3"/>
      <c r="C12" s="1"/>
      <c r="D12" s="1"/>
      <c r="E12" s="2"/>
      <c r="G12" s="3">
        <v>44147</v>
      </c>
      <c r="H12" s="1" t="s">
        <v>4</v>
      </c>
      <c r="I12" s="1" t="s">
        <v>6</v>
      </c>
      <c r="J12" s="2" t="s">
        <v>34</v>
      </c>
      <c r="L12" s="4"/>
      <c r="M12" s="4"/>
      <c r="N12" s="4"/>
      <c r="O12" s="4"/>
    </row>
    <row r="13" spans="2:15" ht="15.75" thickBot="1">
      <c r="G13" s="3">
        <v>44148</v>
      </c>
      <c r="H13" s="1" t="s">
        <v>4</v>
      </c>
      <c r="I13" s="1" t="s">
        <v>5</v>
      </c>
      <c r="J13" s="2" t="s">
        <v>16</v>
      </c>
      <c r="L13" s="4"/>
      <c r="M13" s="4"/>
      <c r="N13" s="4"/>
      <c r="O13" s="4"/>
    </row>
    <row r="14" spans="2:15" ht="15.75" thickBot="1">
      <c r="G14" s="3">
        <v>44151</v>
      </c>
      <c r="H14" s="1" t="s">
        <v>4</v>
      </c>
      <c r="I14" s="1" t="s">
        <v>11</v>
      </c>
      <c r="J14" s="2" t="s">
        <v>33</v>
      </c>
      <c r="L14" s="4"/>
      <c r="M14" s="4"/>
      <c r="N14" s="4"/>
      <c r="O14" s="4"/>
    </row>
    <row r="15" spans="2:15" ht="15.75" thickBot="1">
      <c r="G15" s="3">
        <v>44158</v>
      </c>
      <c r="H15" s="1" t="s">
        <v>4</v>
      </c>
      <c r="I15" s="1" t="s">
        <v>11</v>
      </c>
      <c r="J15" s="2" t="s">
        <v>15</v>
      </c>
      <c r="L15" s="4"/>
      <c r="M15" s="4"/>
      <c r="N15" s="4"/>
      <c r="O15" s="4"/>
    </row>
    <row r="16" spans="2:15" ht="15.75" thickBot="1">
      <c r="G16" s="3">
        <v>44158</v>
      </c>
      <c r="H16" s="1" t="s">
        <v>4</v>
      </c>
      <c r="I16" s="1" t="s">
        <v>14</v>
      </c>
      <c r="J16" s="2" t="s">
        <v>18</v>
      </c>
      <c r="L16" s="4"/>
      <c r="M16" s="4"/>
      <c r="N16" s="4"/>
      <c r="O16" s="4"/>
    </row>
    <row r="17" spans="2:15" ht="15.75" thickBot="1">
      <c r="B17" s="13">
        <v>44165</v>
      </c>
      <c r="C17" s="14" t="s">
        <v>4</v>
      </c>
      <c r="D17" s="14" t="s">
        <v>5</v>
      </c>
      <c r="E17" s="15" t="s">
        <v>35</v>
      </c>
      <c r="G17" s="3">
        <v>44165</v>
      </c>
      <c r="H17" s="1" t="s">
        <v>4</v>
      </c>
      <c r="I17" s="1" t="s">
        <v>5</v>
      </c>
      <c r="J17" s="2" t="s">
        <v>35</v>
      </c>
      <c r="L17" s="4" t="str">
        <f t="shared" ref="L17:L40" si="5">IF(B17=G17, "OK","NG")</f>
        <v>OK</v>
      </c>
      <c r="M17" s="4" t="str">
        <f t="shared" ref="M17:M40" si="6">IF(C17=H17, "OK","NG")</f>
        <v>OK</v>
      </c>
      <c r="N17" s="4" t="str">
        <f t="shared" ref="N17:N40" si="7">IF(D17=I17, "OK","NG")</f>
        <v>OK</v>
      </c>
      <c r="O17" s="4" t="str">
        <f t="shared" ref="O17:O40" si="8">IF(E17=J17, "OK","NG")</f>
        <v>OK</v>
      </c>
    </row>
    <row r="18" spans="2:15" ht="15.75" thickBot="1">
      <c r="B18" s="3">
        <v>44169</v>
      </c>
      <c r="C18" s="1" t="s">
        <v>4</v>
      </c>
      <c r="D18" s="1" t="s">
        <v>46</v>
      </c>
      <c r="E18" s="2" t="s">
        <v>9</v>
      </c>
      <c r="G18" s="3">
        <v>44169</v>
      </c>
      <c r="H18" s="1" t="s">
        <v>4</v>
      </c>
      <c r="I18" s="1" t="s">
        <v>46</v>
      </c>
      <c r="J18" s="2" t="s">
        <v>9</v>
      </c>
      <c r="L18" s="4" t="str">
        <f t="shared" si="5"/>
        <v>OK</v>
      </c>
      <c r="M18" s="4" t="str">
        <f t="shared" si="6"/>
        <v>OK</v>
      </c>
      <c r="N18" s="4" t="str">
        <f t="shared" si="7"/>
        <v>OK</v>
      </c>
      <c r="O18" s="4" t="str">
        <f t="shared" si="8"/>
        <v>OK</v>
      </c>
    </row>
    <row r="19" spans="2:15" ht="15.75" thickBot="1">
      <c r="G19" s="3">
        <v>44172</v>
      </c>
      <c r="H19" s="1" t="s">
        <v>4</v>
      </c>
      <c r="I19" s="1" t="s">
        <v>8</v>
      </c>
      <c r="J19" s="2" t="s">
        <v>40</v>
      </c>
      <c r="L19" s="4"/>
      <c r="M19" s="4"/>
      <c r="N19" s="4"/>
      <c r="O19" s="4"/>
    </row>
    <row r="20" spans="2:15" ht="15.75" thickBot="1">
      <c r="G20" s="3">
        <v>44172</v>
      </c>
      <c r="H20" s="1" t="s">
        <v>4</v>
      </c>
      <c r="I20" s="1" t="s">
        <v>41</v>
      </c>
      <c r="J20" s="2" t="s">
        <v>29</v>
      </c>
      <c r="L20" s="4"/>
      <c r="M20" s="4"/>
      <c r="N20" s="4"/>
      <c r="O20" s="4"/>
    </row>
    <row r="21" spans="2:15" ht="15.75" thickBot="1">
      <c r="G21" s="3">
        <v>44173</v>
      </c>
      <c r="H21" s="1" t="s">
        <v>4</v>
      </c>
      <c r="I21" s="1" t="s">
        <v>10</v>
      </c>
      <c r="J21" s="2" t="s">
        <v>42</v>
      </c>
      <c r="L21" s="4"/>
      <c r="M21" s="4"/>
      <c r="N21" s="4"/>
      <c r="O21" s="4"/>
    </row>
    <row r="22" spans="2:15" ht="15.75" thickBot="1">
      <c r="G22" s="3">
        <v>44179</v>
      </c>
      <c r="H22" s="1" t="s">
        <v>4</v>
      </c>
      <c r="I22" s="1" t="s">
        <v>5</v>
      </c>
      <c r="J22" s="2" t="s">
        <v>54</v>
      </c>
      <c r="L22" s="4"/>
      <c r="M22" s="4"/>
      <c r="N22" s="4"/>
      <c r="O22" s="4"/>
    </row>
    <row r="23" spans="2:15" ht="15.75" thickBot="1">
      <c r="G23" s="3">
        <v>44186</v>
      </c>
      <c r="H23" s="1" t="s">
        <v>4</v>
      </c>
      <c r="I23" s="1" t="s">
        <v>10</v>
      </c>
      <c r="J23" s="2" t="s">
        <v>40</v>
      </c>
      <c r="L23" s="4"/>
      <c r="M23" s="4"/>
      <c r="N23" s="4"/>
      <c r="O23" s="4"/>
    </row>
    <row r="24" spans="2:15" ht="15.75" thickBot="1">
      <c r="G24" s="13">
        <v>44207</v>
      </c>
      <c r="H24" s="14" t="s">
        <v>4</v>
      </c>
      <c r="I24" s="14" t="s">
        <v>14</v>
      </c>
      <c r="J24" s="15" t="s">
        <v>50</v>
      </c>
      <c r="L24" s="4"/>
      <c r="M24" s="4"/>
      <c r="N24" s="4"/>
      <c r="O24" s="4"/>
    </row>
    <row r="25" spans="2:15" ht="15.75" thickBot="1">
      <c r="B25" s="13"/>
      <c r="C25" s="14"/>
      <c r="D25" s="14"/>
      <c r="E25" s="15"/>
      <c r="G25" s="12">
        <v>44207</v>
      </c>
      <c r="H25" s="10" t="s">
        <v>4</v>
      </c>
      <c r="I25" s="10" t="s">
        <v>5</v>
      </c>
      <c r="J25" s="11" t="s">
        <v>52</v>
      </c>
      <c r="L25" s="4"/>
      <c r="M25" s="4"/>
      <c r="N25" s="4"/>
      <c r="O25" s="4"/>
    </row>
    <row r="26" spans="2:15" ht="15.75" thickBot="1">
      <c r="B26" s="17"/>
      <c r="C26" s="17"/>
      <c r="D26" s="17"/>
      <c r="E26" s="17"/>
      <c r="G26" s="3">
        <v>44215</v>
      </c>
      <c r="H26" s="1" t="s">
        <v>4</v>
      </c>
      <c r="I26" s="1" t="s">
        <v>11</v>
      </c>
      <c r="J26" s="2" t="s">
        <v>48</v>
      </c>
      <c r="L26" s="4"/>
      <c r="M26" s="4"/>
      <c r="N26" s="4"/>
      <c r="O26" s="4"/>
    </row>
    <row r="27" spans="2:15" ht="15.75" thickBot="1">
      <c r="B27" s="12"/>
      <c r="C27" s="10"/>
      <c r="D27" s="10"/>
      <c r="E27" s="11"/>
      <c r="G27" s="3">
        <v>44215</v>
      </c>
      <c r="H27" s="1" t="s">
        <v>4</v>
      </c>
      <c r="I27" s="1" t="s">
        <v>5</v>
      </c>
      <c r="J27" s="2" t="s">
        <v>42</v>
      </c>
      <c r="L27" s="4"/>
      <c r="M27" s="4"/>
      <c r="N27" s="4"/>
      <c r="O27" s="4"/>
    </row>
    <row r="28" spans="2:15" ht="15.75" thickBot="1">
      <c r="B28" s="3">
        <v>44221</v>
      </c>
      <c r="C28" s="1" t="s">
        <v>4</v>
      </c>
      <c r="D28" s="1" t="s">
        <v>14</v>
      </c>
      <c r="E28" s="2" t="s">
        <v>55</v>
      </c>
      <c r="G28" s="3">
        <v>44221</v>
      </c>
      <c r="H28" s="1" t="s">
        <v>4</v>
      </c>
      <c r="I28" s="1" t="s">
        <v>14</v>
      </c>
      <c r="J28" s="2" t="s">
        <v>55</v>
      </c>
      <c r="L28" s="4" t="str">
        <f t="shared" ref="L28" si="9">IF(B28=G28, "OK","NG")</f>
        <v>OK</v>
      </c>
      <c r="M28" s="4" t="str">
        <f t="shared" ref="M28" si="10">IF(C28=H28, "OK","NG")</f>
        <v>OK</v>
      </c>
      <c r="N28" s="4" t="str">
        <f t="shared" ref="N28" si="11">IF(D28=I28, "OK","NG")</f>
        <v>OK</v>
      </c>
      <c r="O28" s="4" t="str">
        <f t="shared" ref="O28" si="12">IF(E28=J28, "OK","NG")</f>
        <v>OK</v>
      </c>
    </row>
    <row r="29" spans="2:15" ht="15.75" thickBot="1">
      <c r="G29" s="16" t="s">
        <v>38</v>
      </c>
      <c r="H29" s="1" t="s">
        <v>4</v>
      </c>
      <c r="I29" s="1" t="s">
        <v>10</v>
      </c>
      <c r="J29" s="2" t="s">
        <v>52</v>
      </c>
      <c r="L29" s="4"/>
      <c r="M29" s="4"/>
      <c r="N29" s="4"/>
      <c r="O29" s="4"/>
    </row>
    <row r="30" spans="2:15" ht="15.75" thickBot="1">
      <c r="B30" s="3"/>
      <c r="C30" s="1"/>
      <c r="D30" s="1"/>
      <c r="E30" s="2"/>
      <c r="G30" s="16" t="s">
        <v>38</v>
      </c>
      <c r="H30" s="1" t="s">
        <v>4</v>
      </c>
      <c r="I30" s="1" t="s">
        <v>6</v>
      </c>
      <c r="J30" s="2" t="s">
        <v>27</v>
      </c>
      <c r="L30" s="4"/>
      <c r="M30" s="4"/>
      <c r="N30" s="4"/>
      <c r="O30" s="4"/>
    </row>
    <row r="31" spans="2:15" ht="15.75" thickBot="1">
      <c r="G31" s="3">
        <v>44140</v>
      </c>
      <c r="H31" s="1" t="s">
        <v>2</v>
      </c>
      <c r="I31" s="1" t="s">
        <v>17</v>
      </c>
      <c r="J31" s="2" t="s">
        <v>30</v>
      </c>
      <c r="L31" s="4"/>
      <c r="M31" s="4"/>
      <c r="N31" s="4"/>
      <c r="O31" s="4"/>
    </row>
    <row r="32" spans="2:15" ht="15.75" thickBot="1">
      <c r="G32" s="3">
        <v>44140</v>
      </c>
      <c r="H32" s="1" t="s">
        <v>2</v>
      </c>
      <c r="I32" s="1" t="s">
        <v>17</v>
      </c>
      <c r="J32" s="2" t="s">
        <v>31</v>
      </c>
      <c r="L32" s="4"/>
      <c r="M32" s="4"/>
      <c r="N32" s="4"/>
      <c r="O32" s="4"/>
    </row>
    <row r="33" spans="2:15" ht="15.75" thickBot="1">
      <c r="G33" s="3">
        <v>44148</v>
      </c>
      <c r="H33" s="1" t="s">
        <v>2</v>
      </c>
      <c r="I33" s="1" t="s">
        <v>21</v>
      </c>
      <c r="J33" s="2" t="s">
        <v>36</v>
      </c>
      <c r="L33" s="4"/>
      <c r="M33" s="4"/>
      <c r="N33" s="4"/>
      <c r="O33" s="4"/>
    </row>
    <row r="34" spans="2:15" ht="15.75" thickBot="1">
      <c r="G34" s="13">
        <v>44166</v>
      </c>
      <c r="H34" s="14" t="s">
        <v>2</v>
      </c>
      <c r="I34" s="14" t="s">
        <v>17</v>
      </c>
      <c r="J34" s="2" t="s">
        <v>25</v>
      </c>
      <c r="L34" s="4"/>
      <c r="M34" s="4"/>
      <c r="N34" s="4"/>
      <c r="O34" s="4"/>
    </row>
    <row r="35" spans="2:15" ht="15.75" thickBot="1">
      <c r="B35" s="12">
        <v>44166</v>
      </c>
      <c r="C35" s="10" t="s">
        <v>2</v>
      </c>
      <c r="D35" s="10" t="s">
        <v>17</v>
      </c>
      <c r="E35" s="11" t="s">
        <v>26</v>
      </c>
      <c r="G35" s="22">
        <v>44166</v>
      </c>
      <c r="H35" s="23" t="s">
        <v>2</v>
      </c>
      <c r="I35" s="23" t="s">
        <v>17</v>
      </c>
      <c r="J35" s="15" t="s">
        <v>26</v>
      </c>
      <c r="L35" s="4" t="str">
        <f t="shared" si="5"/>
        <v>OK</v>
      </c>
      <c r="M35" s="4" t="str">
        <f t="shared" si="6"/>
        <v>OK</v>
      </c>
      <c r="N35" s="4" t="str">
        <f t="shared" si="7"/>
        <v>OK</v>
      </c>
      <c r="O35" s="4" t="str">
        <f t="shared" si="8"/>
        <v>OK</v>
      </c>
    </row>
    <row r="36" spans="2:15" ht="15.75" thickBot="1">
      <c r="B36" s="3">
        <v>44166</v>
      </c>
      <c r="C36" s="1" t="s">
        <v>2</v>
      </c>
      <c r="D36" s="1" t="s">
        <v>7</v>
      </c>
      <c r="E36" s="2" t="s">
        <v>24</v>
      </c>
      <c r="G36" s="12">
        <v>44166</v>
      </c>
      <c r="H36" s="10" t="s">
        <v>2</v>
      </c>
      <c r="I36" s="10" t="s">
        <v>7</v>
      </c>
      <c r="J36" s="11" t="s">
        <v>24</v>
      </c>
      <c r="L36" s="4" t="str">
        <f t="shared" si="5"/>
        <v>OK</v>
      </c>
      <c r="M36" s="4" t="str">
        <f t="shared" si="6"/>
        <v>OK</v>
      </c>
      <c r="N36" s="4" t="str">
        <f t="shared" si="7"/>
        <v>OK</v>
      </c>
      <c r="O36" s="4" t="str">
        <f t="shared" si="8"/>
        <v>OK</v>
      </c>
    </row>
    <row r="37" spans="2:15" ht="15.75" thickBot="1">
      <c r="G37" s="3">
        <v>44168</v>
      </c>
      <c r="H37" s="1" t="s">
        <v>2</v>
      </c>
      <c r="I37" s="1" t="s">
        <v>20</v>
      </c>
      <c r="J37" s="2" t="s">
        <v>37</v>
      </c>
      <c r="L37" s="4"/>
      <c r="M37" s="4"/>
      <c r="N37" s="4"/>
      <c r="O37" s="4"/>
    </row>
    <row r="38" spans="2:15" ht="15.75" thickBot="1">
      <c r="G38" s="3">
        <v>44172</v>
      </c>
      <c r="H38" s="1" t="s">
        <v>2</v>
      </c>
      <c r="I38" s="1" t="s">
        <v>23</v>
      </c>
      <c r="J38" s="2" t="s">
        <v>32</v>
      </c>
      <c r="L38" s="4"/>
      <c r="M38" s="4"/>
      <c r="N38" s="4"/>
      <c r="O38" s="4"/>
    </row>
    <row r="39" spans="2:15" ht="15.75" thickBot="1">
      <c r="G39" s="3">
        <v>44211</v>
      </c>
      <c r="H39" s="1" t="s">
        <v>2</v>
      </c>
      <c r="I39" s="1" t="s">
        <v>21</v>
      </c>
      <c r="J39" s="2" t="s">
        <v>25</v>
      </c>
      <c r="L39" s="4"/>
      <c r="M39" s="4"/>
      <c r="N39" s="4"/>
      <c r="O39" s="4"/>
    </row>
    <row r="40" spans="2:15" ht="15.75" thickBot="1">
      <c r="B40" s="3">
        <v>44211</v>
      </c>
      <c r="C40" s="1" t="s">
        <v>2</v>
      </c>
      <c r="D40" s="1" t="s">
        <v>21</v>
      </c>
      <c r="E40" s="2" t="s">
        <v>26</v>
      </c>
      <c r="G40" s="3">
        <v>44211</v>
      </c>
      <c r="H40" s="1" t="s">
        <v>2</v>
      </c>
      <c r="I40" s="1" t="s">
        <v>21</v>
      </c>
      <c r="J40" s="2" t="s">
        <v>26</v>
      </c>
      <c r="L40" s="4" t="str">
        <f t="shared" si="5"/>
        <v>OK</v>
      </c>
      <c r="M40" s="4" t="str">
        <f t="shared" si="6"/>
        <v>OK</v>
      </c>
      <c r="N40" s="4" t="str">
        <f t="shared" si="7"/>
        <v>OK</v>
      </c>
      <c r="O40" s="4" t="str">
        <f t="shared" si="8"/>
        <v>OK</v>
      </c>
    </row>
    <row r="41" spans="2:15" ht="15.75" thickBot="1">
      <c r="B41" s="3"/>
      <c r="C41" s="1"/>
      <c r="D41" s="1"/>
      <c r="E41" s="2"/>
      <c r="G41" s="3">
        <v>44216</v>
      </c>
      <c r="H41" s="1" t="s">
        <v>2</v>
      </c>
      <c r="I41" s="1" t="s">
        <v>3</v>
      </c>
      <c r="J41" s="2" t="s">
        <v>51</v>
      </c>
      <c r="L41" s="4"/>
      <c r="M41" s="4"/>
      <c r="N41" s="4"/>
      <c r="O41" s="4"/>
    </row>
    <row r="42" spans="2:15" ht="15.75" thickBot="1">
      <c r="G42" s="3">
        <v>44221</v>
      </c>
      <c r="H42" s="1" t="s">
        <v>2</v>
      </c>
      <c r="I42" s="1" t="s">
        <v>23</v>
      </c>
      <c r="J42" s="2" t="s">
        <v>25</v>
      </c>
      <c r="L42" s="4"/>
      <c r="M42" s="4"/>
      <c r="N42" s="4"/>
      <c r="O42" s="4"/>
    </row>
    <row r="43" spans="2:15" ht="15.75" thickBot="1">
      <c r="B43" s="3">
        <v>44221</v>
      </c>
      <c r="C43" s="1" t="s">
        <v>2</v>
      </c>
      <c r="D43" s="1" t="s">
        <v>23</v>
      </c>
      <c r="E43" s="2" t="s">
        <v>26</v>
      </c>
      <c r="G43" s="3">
        <v>44221</v>
      </c>
      <c r="H43" s="1" t="s">
        <v>2</v>
      </c>
      <c r="I43" s="1" t="s">
        <v>23</v>
      </c>
      <c r="J43" s="2" t="s">
        <v>26</v>
      </c>
      <c r="L43" s="4" t="str">
        <f t="shared" ref="L43" si="13">IF(B43=G43, "OK","NG")</f>
        <v>OK</v>
      </c>
      <c r="M43" s="4" t="str">
        <f t="shared" ref="M43" si="14">IF(C43=H43, "OK","NG")</f>
        <v>OK</v>
      </c>
      <c r="N43" s="4" t="str">
        <f t="shared" ref="N43" si="15">IF(D43=I43, "OK","NG")</f>
        <v>OK</v>
      </c>
      <c r="O43" s="4" t="str">
        <f t="shared" ref="O43" si="16">IF(E43=J43, "OK","NG")</f>
        <v>OK</v>
      </c>
    </row>
    <row r="44" spans="2:15" ht="15.75" thickBot="1">
      <c r="B44" s="3"/>
      <c r="C44" s="1"/>
      <c r="D44" s="1"/>
      <c r="E44" s="2"/>
      <c r="G44" s="3">
        <v>44221</v>
      </c>
      <c r="H44" s="1" t="s">
        <v>2</v>
      </c>
      <c r="I44" s="1" t="s">
        <v>7</v>
      </c>
      <c r="J44" s="2" t="s">
        <v>32</v>
      </c>
      <c r="L44" s="4"/>
      <c r="M44" s="4"/>
      <c r="N44" s="4"/>
      <c r="O44" s="4"/>
    </row>
    <row r="45" spans="2:15" ht="15.75" thickBot="1">
      <c r="G45" s="16" t="s">
        <v>38</v>
      </c>
      <c r="H45" s="1" t="s">
        <v>2</v>
      </c>
      <c r="I45" s="1" t="s">
        <v>20</v>
      </c>
      <c r="J45" s="2" t="s">
        <v>12</v>
      </c>
      <c r="L45" s="4"/>
      <c r="M45" s="4"/>
      <c r="N45" s="4"/>
      <c r="O45" s="4"/>
    </row>
    <row r="46" spans="2:15" ht="15.75" thickBot="1">
      <c r="G46" s="16" t="s">
        <v>38</v>
      </c>
      <c r="H46" s="1" t="s">
        <v>2</v>
      </c>
      <c r="I46" s="1" t="s">
        <v>20</v>
      </c>
      <c r="J46" s="2" t="s">
        <v>13</v>
      </c>
      <c r="L46" s="4"/>
      <c r="M46" s="4"/>
      <c r="N46" s="4"/>
      <c r="O46" s="4"/>
    </row>
    <row r="47" spans="2:15" ht="15.75" thickBot="1">
      <c r="B47" s="3"/>
      <c r="C47" s="1"/>
      <c r="D47" s="1"/>
      <c r="E47" s="2"/>
      <c r="G47" s="3"/>
      <c r="H47" s="1"/>
      <c r="I47" s="1"/>
      <c r="J47" s="2"/>
    </row>
    <row r="48" spans="2:15" ht="15.75" thickBot="1">
      <c r="G48" s="3"/>
      <c r="H48" s="1"/>
      <c r="I48" s="1"/>
      <c r="J48" s="2"/>
    </row>
  </sheetData>
  <autoFilter ref="G2:J2">
    <filterColumn colId="0" showButton="0"/>
    <filterColumn colId="1" showButton="0"/>
  </autoFilter>
  <sortState ref="G3:J46">
    <sortCondition ref="H3"/>
  </sortState>
  <mergeCells count="6">
    <mergeCell ref="B1:E1"/>
    <mergeCell ref="G1:J1"/>
    <mergeCell ref="L1:O1"/>
    <mergeCell ref="B2:D2"/>
    <mergeCell ref="G2:I2"/>
    <mergeCell ref="L2:N2"/>
  </mergeCells>
  <conditionalFormatting sqref="L3:O46">
    <cfRule type="cellIs" dxfId="3" priority="1" operator="equal">
      <formula>"NG"</formula>
    </cfRule>
    <cfRule type="cellIs" dxfId="2" priority="2" operator="equal">
      <formula>"OK"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O48"/>
  <sheetViews>
    <sheetView topLeftCell="A15" workbookViewId="0">
      <selection activeCell="G3" sqref="G3:J48"/>
    </sheetView>
  </sheetViews>
  <sheetFormatPr defaultRowHeight="15"/>
  <cols>
    <col min="2" max="2" width="12" bestFit="1" customWidth="1"/>
    <col min="3" max="3" width="5.7109375" bestFit="1" customWidth="1"/>
    <col min="4" max="4" width="5.28515625" bestFit="1" customWidth="1"/>
    <col min="5" max="5" width="27.28515625" bestFit="1" customWidth="1"/>
    <col min="7" max="7" width="12.5703125" bestFit="1" customWidth="1"/>
    <col min="8" max="8" width="5.7109375" bestFit="1" customWidth="1"/>
    <col min="9" max="9" width="11.85546875" bestFit="1" customWidth="1"/>
    <col min="10" max="10" width="35.5703125" customWidth="1"/>
  </cols>
  <sheetData>
    <row r="1" spans="2:15" ht="15.75" thickBot="1">
      <c r="B1" s="45" t="s">
        <v>45</v>
      </c>
      <c r="C1" s="45"/>
      <c r="D1" s="45"/>
      <c r="E1" s="45"/>
      <c r="G1" s="45" t="s">
        <v>44</v>
      </c>
      <c r="H1" s="45"/>
      <c r="I1" s="45"/>
      <c r="J1" s="45"/>
      <c r="L1" s="45" t="s">
        <v>39</v>
      </c>
      <c r="M1" s="45"/>
      <c r="N1" s="45"/>
      <c r="O1" s="45"/>
    </row>
    <row r="2" spans="2:15" ht="15.75" thickBot="1">
      <c r="B2" s="62" t="s">
        <v>0</v>
      </c>
      <c r="C2" s="63"/>
      <c r="D2" s="64"/>
      <c r="E2" s="9" t="s">
        <v>1</v>
      </c>
      <c r="G2" s="62" t="s">
        <v>0</v>
      </c>
      <c r="H2" s="63"/>
      <c r="I2" s="64"/>
      <c r="J2" s="9" t="s">
        <v>1</v>
      </c>
      <c r="L2" s="62" t="s">
        <v>0</v>
      </c>
      <c r="M2" s="63"/>
      <c r="N2" s="64"/>
      <c r="O2" s="9" t="s">
        <v>1</v>
      </c>
    </row>
    <row r="3" spans="2:15" ht="15.75" thickBot="1">
      <c r="G3" s="16" t="s">
        <v>38</v>
      </c>
      <c r="H3" s="14" t="s">
        <v>2</v>
      </c>
      <c r="I3" s="14" t="s">
        <v>3</v>
      </c>
      <c r="J3" s="15" t="s">
        <v>60</v>
      </c>
      <c r="L3" s="4"/>
      <c r="M3" s="4"/>
      <c r="N3" s="4"/>
      <c r="O3" s="4"/>
    </row>
    <row r="4" spans="2:15" ht="15.75" thickBot="1">
      <c r="G4" s="16" t="s">
        <v>38</v>
      </c>
      <c r="H4" s="10" t="s">
        <v>4</v>
      </c>
      <c r="I4" s="10" t="s">
        <v>6</v>
      </c>
      <c r="J4" s="11" t="s">
        <v>27</v>
      </c>
      <c r="L4" s="4"/>
      <c r="M4" s="4"/>
      <c r="N4" s="4"/>
      <c r="O4" s="4"/>
    </row>
    <row r="5" spans="2:15" ht="15.75" thickBot="1">
      <c r="G5" s="24">
        <v>44132</v>
      </c>
      <c r="H5" s="25" t="s">
        <v>4</v>
      </c>
      <c r="I5" s="25" t="s">
        <v>61</v>
      </c>
      <c r="J5" s="26" t="s">
        <v>50</v>
      </c>
      <c r="L5" s="4"/>
      <c r="M5" s="4"/>
      <c r="N5" s="4"/>
      <c r="O5" s="4"/>
    </row>
    <row r="6" spans="2:15" ht="15.75" thickBot="1">
      <c r="G6" s="18">
        <v>44133</v>
      </c>
      <c r="H6" s="1" t="s">
        <v>4</v>
      </c>
      <c r="I6" s="1" t="s">
        <v>14</v>
      </c>
      <c r="J6" s="2" t="s">
        <v>15</v>
      </c>
      <c r="L6" s="4"/>
      <c r="M6" s="4"/>
      <c r="N6" s="4"/>
      <c r="O6" s="4"/>
    </row>
    <row r="7" spans="2:15" ht="15.75" thickBot="1">
      <c r="G7" s="18">
        <v>44133</v>
      </c>
      <c r="H7" s="1" t="s">
        <v>4</v>
      </c>
      <c r="I7" s="1" t="s">
        <v>11</v>
      </c>
      <c r="J7" s="2" t="s">
        <v>43</v>
      </c>
      <c r="L7" s="4"/>
      <c r="M7" s="4"/>
      <c r="N7" s="4"/>
      <c r="O7" s="4"/>
    </row>
    <row r="8" spans="2:15" ht="15.75" thickBot="1">
      <c r="G8" s="18">
        <v>44140</v>
      </c>
      <c r="H8" s="1" t="s">
        <v>2</v>
      </c>
      <c r="I8" s="1" t="s">
        <v>17</v>
      </c>
      <c r="J8" s="2" t="s">
        <v>30</v>
      </c>
      <c r="L8" s="4"/>
      <c r="M8" s="4"/>
      <c r="N8" s="4"/>
      <c r="O8" s="4"/>
    </row>
    <row r="9" spans="2:15" ht="15.75" thickBot="1">
      <c r="G9" s="18">
        <v>44140</v>
      </c>
      <c r="H9" s="1" t="s">
        <v>2</v>
      </c>
      <c r="I9" s="1" t="s">
        <v>17</v>
      </c>
      <c r="J9" s="2" t="s">
        <v>31</v>
      </c>
      <c r="L9" s="4"/>
      <c r="M9" s="4"/>
      <c r="N9" s="4"/>
      <c r="O9" s="4"/>
    </row>
    <row r="10" spans="2:15" ht="15.75" thickBot="1">
      <c r="G10" s="18">
        <v>44141</v>
      </c>
      <c r="H10" s="1" t="s">
        <v>2</v>
      </c>
      <c r="I10" s="1" t="s">
        <v>20</v>
      </c>
      <c r="J10" s="2" t="s">
        <v>12</v>
      </c>
      <c r="L10" s="4"/>
      <c r="M10" s="4"/>
      <c r="N10" s="4"/>
      <c r="O10" s="4"/>
    </row>
    <row r="11" spans="2:15" ht="15.75" thickBot="1">
      <c r="B11" s="3"/>
      <c r="C11" s="1"/>
      <c r="D11" s="1"/>
      <c r="E11" s="2"/>
      <c r="G11" s="18">
        <v>44141</v>
      </c>
      <c r="H11" s="1" t="s">
        <v>2</v>
      </c>
      <c r="I11" s="1" t="s">
        <v>20</v>
      </c>
      <c r="J11" s="2" t="s">
        <v>13</v>
      </c>
      <c r="L11" s="4"/>
      <c r="M11" s="4"/>
      <c r="N11" s="4"/>
      <c r="O11" s="4"/>
    </row>
    <row r="12" spans="2:15" ht="15.75" thickBot="1">
      <c r="B12" s="3"/>
      <c r="C12" s="1"/>
      <c r="D12" s="1"/>
      <c r="E12" s="2"/>
      <c r="G12" s="3">
        <v>44145</v>
      </c>
      <c r="H12" s="1" t="s">
        <v>4</v>
      </c>
      <c r="I12" s="1" t="s">
        <v>10</v>
      </c>
      <c r="J12" s="2" t="s">
        <v>54</v>
      </c>
      <c r="L12" s="4"/>
      <c r="M12" s="4"/>
      <c r="N12" s="4"/>
      <c r="O12" s="4"/>
    </row>
    <row r="13" spans="2:15" ht="15.75" thickBot="1">
      <c r="B13" s="3">
        <v>44147</v>
      </c>
      <c r="C13" s="1" t="s">
        <v>4</v>
      </c>
      <c r="D13" s="1" t="s">
        <v>46</v>
      </c>
      <c r="E13" s="2" t="s">
        <v>49</v>
      </c>
      <c r="G13" s="3">
        <v>44147</v>
      </c>
      <c r="H13" s="1" t="s">
        <v>4</v>
      </c>
      <c r="I13" s="1" t="s">
        <v>46</v>
      </c>
      <c r="J13" s="2" t="s">
        <v>49</v>
      </c>
      <c r="L13" s="4" t="str">
        <f>IF(B13=G13, "OK","NG")</f>
        <v>OK</v>
      </c>
      <c r="M13" s="4" t="str">
        <f t="shared" ref="M13:O13" si="0">IF(C13=H13, "OK","NG")</f>
        <v>OK</v>
      </c>
      <c r="N13" s="4" t="str">
        <f t="shared" si="0"/>
        <v>OK</v>
      </c>
      <c r="O13" s="4" t="str">
        <f t="shared" si="0"/>
        <v>OK</v>
      </c>
    </row>
    <row r="14" spans="2:15" ht="15.75" thickBot="1">
      <c r="G14" s="3">
        <v>44147</v>
      </c>
      <c r="H14" s="1" t="s">
        <v>4</v>
      </c>
      <c r="I14" s="1" t="s">
        <v>6</v>
      </c>
      <c r="J14" s="2" t="s">
        <v>34</v>
      </c>
      <c r="L14" s="4"/>
      <c r="M14" s="4"/>
      <c r="N14" s="4"/>
      <c r="O14" s="4"/>
    </row>
    <row r="15" spans="2:15" ht="15.75" thickBot="1">
      <c r="G15" s="3">
        <v>44148</v>
      </c>
      <c r="H15" s="1" t="s">
        <v>2</v>
      </c>
      <c r="I15" s="1" t="s">
        <v>21</v>
      </c>
      <c r="J15" s="2" t="s">
        <v>36</v>
      </c>
      <c r="L15" s="4"/>
      <c r="M15" s="4"/>
      <c r="N15" s="4"/>
      <c r="O15" s="4"/>
    </row>
    <row r="16" spans="2:15" ht="15.75" thickBot="1">
      <c r="G16" s="3">
        <v>44148</v>
      </c>
      <c r="H16" s="1" t="s">
        <v>4</v>
      </c>
      <c r="I16" s="1" t="s">
        <v>5</v>
      </c>
      <c r="J16" s="2" t="s">
        <v>16</v>
      </c>
      <c r="L16" s="4"/>
      <c r="M16" s="4"/>
      <c r="N16" s="4"/>
      <c r="O16" s="4"/>
    </row>
    <row r="17" spans="2:15" ht="15.75" thickBot="1">
      <c r="B17" s="13"/>
      <c r="C17" s="14"/>
      <c r="D17" s="14"/>
      <c r="E17" s="15"/>
      <c r="G17" s="3">
        <v>44151</v>
      </c>
      <c r="H17" s="1" t="s">
        <v>4</v>
      </c>
      <c r="I17" s="1" t="s">
        <v>14</v>
      </c>
      <c r="J17" s="2" t="s">
        <v>19</v>
      </c>
      <c r="L17" s="4"/>
      <c r="M17" s="4"/>
      <c r="N17" s="4"/>
      <c r="O17" s="4"/>
    </row>
    <row r="18" spans="2:15" ht="15.75" thickBot="1">
      <c r="B18" s="3"/>
      <c r="C18" s="1"/>
      <c r="D18" s="1"/>
      <c r="E18" s="2"/>
      <c r="G18" s="3">
        <v>44151</v>
      </c>
      <c r="H18" s="1" t="s">
        <v>4</v>
      </c>
      <c r="I18" s="1" t="s">
        <v>11</v>
      </c>
      <c r="J18" s="2" t="s">
        <v>33</v>
      </c>
      <c r="L18" s="4"/>
      <c r="M18" s="4"/>
      <c r="N18" s="4"/>
      <c r="O18" s="4"/>
    </row>
    <row r="19" spans="2:15" ht="15.75" thickBot="1">
      <c r="G19" s="3">
        <v>44158</v>
      </c>
      <c r="H19" s="1" t="s">
        <v>4</v>
      </c>
      <c r="I19" s="1" t="s">
        <v>14</v>
      </c>
      <c r="J19" s="2" t="s">
        <v>18</v>
      </c>
      <c r="L19" s="4"/>
      <c r="M19" s="4"/>
      <c r="N19" s="4"/>
      <c r="O19" s="4"/>
    </row>
    <row r="20" spans="2:15" ht="15.75" thickBot="1">
      <c r="G20" s="3">
        <v>44159</v>
      </c>
      <c r="H20" s="1" t="s">
        <v>4</v>
      </c>
      <c r="I20" s="1" t="s">
        <v>10</v>
      </c>
      <c r="J20" s="2" t="s">
        <v>52</v>
      </c>
      <c r="L20" s="4"/>
      <c r="M20" s="4"/>
      <c r="N20" s="4"/>
      <c r="O20" s="4"/>
    </row>
    <row r="21" spans="2:15" ht="15.75" thickBot="1">
      <c r="B21" s="13">
        <v>44165</v>
      </c>
      <c r="C21" s="14" t="s">
        <v>4</v>
      </c>
      <c r="D21" s="14" t="s">
        <v>5</v>
      </c>
      <c r="E21" s="15" t="s">
        <v>35</v>
      </c>
      <c r="G21" s="13">
        <v>44165</v>
      </c>
      <c r="H21" s="14" t="s">
        <v>4</v>
      </c>
      <c r="I21" s="14" t="s">
        <v>5</v>
      </c>
      <c r="J21" s="15" t="s">
        <v>35</v>
      </c>
      <c r="L21" s="4" t="str">
        <f>IF(B21=G21, "OK","NG")</f>
        <v>OK</v>
      </c>
      <c r="M21" s="4" t="str">
        <f t="shared" ref="M21" si="1">IF(C21=H21, "OK","NG")</f>
        <v>OK</v>
      </c>
      <c r="N21" s="4" t="str">
        <f t="shared" ref="N21" si="2">IF(D21=I21, "OK","NG")</f>
        <v>OK</v>
      </c>
      <c r="O21" s="4" t="str">
        <f t="shared" ref="O21" si="3">IF(E21=J21, "OK","NG")</f>
        <v>OK</v>
      </c>
    </row>
    <row r="22" spans="2:15" ht="15.75" thickBot="1">
      <c r="G22" s="12">
        <v>44166</v>
      </c>
      <c r="H22" s="10" t="s">
        <v>2</v>
      </c>
      <c r="I22" s="10" t="s">
        <v>17</v>
      </c>
      <c r="J22" s="11" t="s">
        <v>25</v>
      </c>
      <c r="L22" s="4"/>
      <c r="M22" s="4"/>
      <c r="N22" s="4"/>
      <c r="O22" s="4"/>
    </row>
    <row r="23" spans="2:15" ht="15.75" thickBot="1">
      <c r="B23" s="12">
        <v>44166</v>
      </c>
      <c r="C23" s="10" t="s">
        <v>2</v>
      </c>
      <c r="D23" s="10" t="s">
        <v>17</v>
      </c>
      <c r="E23" s="11" t="s">
        <v>26</v>
      </c>
      <c r="G23" s="3">
        <v>44166</v>
      </c>
      <c r="H23" s="1" t="s">
        <v>2</v>
      </c>
      <c r="I23" s="1" t="s">
        <v>17</v>
      </c>
      <c r="J23" s="2" t="s">
        <v>26</v>
      </c>
      <c r="L23" s="4" t="str">
        <f>IF(B23=G23, "OK","NG")</f>
        <v>OK</v>
      </c>
      <c r="M23" s="4" t="str">
        <f t="shared" ref="M23:M24" si="4">IF(C23=H23, "OK","NG")</f>
        <v>OK</v>
      </c>
      <c r="N23" s="4" t="str">
        <f t="shared" ref="N23:N24" si="5">IF(D23=I23, "OK","NG")</f>
        <v>OK</v>
      </c>
      <c r="O23" s="4" t="str">
        <f t="shared" ref="O23:O24" si="6">IF(E23=J23, "OK","NG")</f>
        <v>OK</v>
      </c>
    </row>
    <row r="24" spans="2:15" ht="15.75" thickBot="1">
      <c r="B24" s="3">
        <v>44166</v>
      </c>
      <c r="C24" s="1" t="s">
        <v>2</v>
      </c>
      <c r="D24" s="1" t="s">
        <v>7</v>
      </c>
      <c r="E24" s="2" t="s">
        <v>24</v>
      </c>
      <c r="G24" s="3">
        <v>44166</v>
      </c>
      <c r="H24" s="1" t="s">
        <v>2</v>
      </c>
      <c r="I24" s="1" t="s">
        <v>7</v>
      </c>
      <c r="J24" s="2" t="s">
        <v>24</v>
      </c>
      <c r="L24" s="4" t="str">
        <f>IF(B24=G24, "OK","NG")</f>
        <v>OK</v>
      </c>
      <c r="M24" s="4" t="str">
        <f t="shared" si="4"/>
        <v>OK</v>
      </c>
      <c r="N24" s="4" t="str">
        <f t="shared" si="5"/>
        <v>OK</v>
      </c>
      <c r="O24" s="4" t="str">
        <f t="shared" si="6"/>
        <v>OK</v>
      </c>
    </row>
    <row r="25" spans="2:15" ht="15.75" thickBot="1">
      <c r="B25" s="13"/>
      <c r="C25" s="14"/>
      <c r="D25" s="14"/>
      <c r="E25" s="15"/>
      <c r="G25" s="3">
        <v>44168</v>
      </c>
      <c r="H25" s="1" t="s">
        <v>2</v>
      </c>
      <c r="I25" s="1" t="s">
        <v>20</v>
      </c>
      <c r="J25" s="2" t="s">
        <v>37</v>
      </c>
      <c r="L25" s="4"/>
      <c r="M25" s="4"/>
      <c r="N25" s="4"/>
      <c r="O25" s="4"/>
    </row>
    <row r="26" spans="2:15" ht="15.75" thickBot="1">
      <c r="B26" s="3">
        <v>44169</v>
      </c>
      <c r="C26" s="1" t="s">
        <v>4</v>
      </c>
      <c r="D26" s="1" t="s">
        <v>46</v>
      </c>
      <c r="E26" s="2" t="s">
        <v>9</v>
      </c>
      <c r="G26" s="3">
        <v>44169</v>
      </c>
      <c r="H26" s="1" t="s">
        <v>4</v>
      </c>
      <c r="I26" s="1" t="s">
        <v>46</v>
      </c>
      <c r="J26" s="2" t="s">
        <v>9</v>
      </c>
      <c r="L26" s="4" t="str">
        <f>IF(B26=G26, "OK","NG")</f>
        <v>OK</v>
      </c>
      <c r="M26" s="4" t="str">
        <f t="shared" ref="M26" si="7">IF(C26=H26, "OK","NG")</f>
        <v>OK</v>
      </c>
      <c r="N26" s="4" t="str">
        <f t="shared" ref="N26" si="8">IF(D26=I26, "OK","NG")</f>
        <v>OK</v>
      </c>
      <c r="O26" s="4" t="str">
        <f t="shared" ref="O26" si="9">IF(E26=J26, "OK","NG")</f>
        <v>OK</v>
      </c>
    </row>
    <row r="27" spans="2:15" ht="15.75" thickBot="1">
      <c r="B27" s="12"/>
      <c r="C27" s="10"/>
      <c r="D27" s="10"/>
      <c r="E27" s="11"/>
      <c r="G27" s="3">
        <v>44172</v>
      </c>
      <c r="H27" s="1" t="s">
        <v>4</v>
      </c>
      <c r="I27" s="1" t="s">
        <v>11</v>
      </c>
      <c r="J27" s="2" t="s">
        <v>15</v>
      </c>
      <c r="L27" s="4"/>
      <c r="M27" s="4"/>
      <c r="N27" s="4"/>
      <c r="O27" s="4"/>
    </row>
    <row r="28" spans="2:15" ht="15.75" thickBot="1">
      <c r="B28" s="3"/>
      <c r="C28" s="1"/>
      <c r="D28" s="1"/>
      <c r="E28" s="2"/>
      <c r="G28" s="3">
        <v>44172</v>
      </c>
      <c r="H28" s="1" t="s">
        <v>2</v>
      </c>
      <c r="I28" s="1" t="s">
        <v>23</v>
      </c>
      <c r="J28" s="2" t="s">
        <v>32</v>
      </c>
      <c r="L28" s="4"/>
      <c r="M28" s="4"/>
      <c r="N28" s="4"/>
      <c r="O28" s="4"/>
    </row>
    <row r="29" spans="2:15" ht="15.75" thickBot="1">
      <c r="G29" s="3">
        <v>44172</v>
      </c>
      <c r="H29" s="1" t="s">
        <v>4</v>
      </c>
      <c r="I29" s="1" t="s">
        <v>41</v>
      </c>
      <c r="J29" s="2" t="s">
        <v>40</v>
      </c>
      <c r="L29" s="4"/>
      <c r="M29" s="4"/>
      <c r="N29" s="4"/>
      <c r="O29" s="4"/>
    </row>
    <row r="30" spans="2:15" ht="15.75" thickBot="1">
      <c r="B30" s="3"/>
      <c r="C30" s="1"/>
      <c r="D30" s="1"/>
      <c r="E30" s="2"/>
      <c r="G30" s="3">
        <v>44172</v>
      </c>
      <c r="H30" s="1" t="s">
        <v>4</v>
      </c>
      <c r="I30" s="1" t="s">
        <v>41</v>
      </c>
      <c r="J30" s="2" t="s">
        <v>29</v>
      </c>
      <c r="L30" s="4"/>
      <c r="M30" s="4"/>
      <c r="N30" s="4"/>
      <c r="O30" s="4"/>
    </row>
    <row r="31" spans="2:15" ht="15.75" thickBot="1">
      <c r="G31" s="3">
        <v>44172</v>
      </c>
      <c r="H31" s="1" t="s">
        <v>4</v>
      </c>
      <c r="I31" s="1" t="s">
        <v>10</v>
      </c>
      <c r="J31" s="2" t="s">
        <v>42</v>
      </c>
      <c r="L31" s="4"/>
      <c r="M31" s="4"/>
      <c r="N31" s="4"/>
      <c r="O31" s="4"/>
    </row>
    <row r="32" spans="2:15" ht="15.75" thickBot="1">
      <c r="G32" s="13">
        <v>44179</v>
      </c>
      <c r="H32" s="14" t="s">
        <v>4</v>
      </c>
      <c r="I32" s="14" t="s">
        <v>5</v>
      </c>
      <c r="J32" s="2" t="s">
        <v>54</v>
      </c>
      <c r="L32" s="4"/>
      <c r="M32" s="4"/>
      <c r="N32" s="4"/>
      <c r="O32" s="4"/>
    </row>
    <row r="33" spans="2:15" ht="15.75" thickBot="1">
      <c r="G33" s="12">
        <v>44207</v>
      </c>
      <c r="H33" s="10" t="s">
        <v>4</v>
      </c>
      <c r="I33" s="10" t="s">
        <v>14</v>
      </c>
      <c r="J33" s="2" t="s">
        <v>50</v>
      </c>
      <c r="L33" s="4"/>
      <c r="M33" s="4"/>
      <c r="N33" s="4"/>
      <c r="O33" s="4"/>
    </row>
    <row r="34" spans="2:15" ht="15.75" thickBot="1">
      <c r="G34" s="3">
        <v>44207</v>
      </c>
      <c r="H34" s="1" t="s">
        <v>4</v>
      </c>
      <c r="I34" s="1" t="s">
        <v>5</v>
      </c>
      <c r="J34" s="2" t="s">
        <v>52</v>
      </c>
      <c r="L34" s="4"/>
      <c r="M34" s="4"/>
      <c r="N34" s="4"/>
      <c r="O34" s="4"/>
    </row>
    <row r="35" spans="2:15" ht="15.75" thickBot="1">
      <c r="B35" s="12"/>
      <c r="C35" s="10"/>
      <c r="D35" s="10"/>
      <c r="E35" s="11"/>
      <c r="G35" s="3">
        <v>44211</v>
      </c>
      <c r="H35" s="1" t="s">
        <v>2</v>
      </c>
      <c r="I35" s="1" t="s">
        <v>21</v>
      </c>
      <c r="J35" s="2" t="s">
        <v>25</v>
      </c>
      <c r="L35" s="4"/>
      <c r="M35" s="4"/>
      <c r="N35" s="4"/>
      <c r="O35" s="4"/>
    </row>
    <row r="36" spans="2:15" ht="15.75" thickBot="1">
      <c r="B36" s="3">
        <v>44211</v>
      </c>
      <c r="C36" s="1" t="s">
        <v>2</v>
      </c>
      <c r="D36" s="1" t="s">
        <v>21</v>
      </c>
      <c r="E36" s="2" t="s">
        <v>26</v>
      </c>
      <c r="G36" s="3">
        <v>44211</v>
      </c>
      <c r="H36" s="1" t="s">
        <v>2</v>
      </c>
      <c r="I36" s="1" t="s">
        <v>21</v>
      </c>
      <c r="J36" s="2" t="s">
        <v>26</v>
      </c>
      <c r="L36" s="4" t="str">
        <f>IF(B36=G36, "OK","NG")</f>
        <v>OK</v>
      </c>
      <c r="M36" s="4" t="str">
        <f t="shared" ref="M36" si="10">IF(C36=H36, "OK","NG")</f>
        <v>OK</v>
      </c>
      <c r="N36" s="4" t="str">
        <f t="shared" ref="N36" si="11">IF(D36=I36, "OK","NG")</f>
        <v>OK</v>
      </c>
      <c r="O36" s="4" t="str">
        <f t="shared" ref="O36" si="12">IF(E36=J36, "OK","NG")</f>
        <v>OK</v>
      </c>
    </row>
    <row r="37" spans="2:15" ht="15.75" thickBot="1">
      <c r="G37" s="3">
        <v>44215</v>
      </c>
      <c r="H37" s="1" t="s">
        <v>4</v>
      </c>
      <c r="I37" s="1" t="s">
        <v>11</v>
      </c>
      <c r="J37" s="2" t="s">
        <v>48</v>
      </c>
      <c r="L37" s="4"/>
      <c r="M37" s="4"/>
      <c r="N37" s="4"/>
      <c r="O37" s="4"/>
    </row>
    <row r="38" spans="2:15" ht="15.75" thickBot="1">
      <c r="G38" s="3">
        <v>44215</v>
      </c>
      <c r="H38" s="1" t="s">
        <v>4</v>
      </c>
      <c r="I38" s="1" t="s">
        <v>5</v>
      </c>
      <c r="J38" s="2" t="s">
        <v>42</v>
      </c>
      <c r="L38" s="4"/>
      <c r="M38" s="4"/>
      <c r="N38" s="4"/>
      <c r="O38" s="4"/>
    </row>
    <row r="39" spans="2:15" ht="15.75" thickBot="1">
      <c r="G39" s="3">
        <v>44216</v>
      </c>
      <c r="H39" s="1" t="s">
        <v>2</v>
      </c>
      <c r="I39" s="1" t="s">
        <v>3</v>
      </c>
      <c r="J39" s="2" t="s">
        <v>51</v>
      </c>
      <c r="L39" s="4"/>
      <c r="M39" s="4"/>
      <c r="N39" s="4"/>
      <c r="O39" s="4"/>
    </row>
    <row r="40" spans="2:15" ht="15.75" thickBot="1">
      <c r="B40" s="3">
        <v>44221</v>
      </c>
      <c r="C40" s="1" t="s">
        <v>4</v>
      </c>
      <c r="D40" s="1" t="s">
        <v>14</v>
      </c>
      <c r="E40" s="2" t="s">
        <v>55</v>
      </c>
      <c r="G40" s="3">
        <v>44221</v>
      </c>
      <c r="H40" s="1" t="s">
        <v>4</v>
      </c>
      <c r="I40" s="1" t="s">
        <v>14</v>
      </c>
      <c r="J40" s="2" t="s">
        <v>55</v>
      </c>
      <c r="L40" s="4" t="str">
        <f>IF(B40=G40, "OK","NG")</f>
        <v>OK</v>
      </c>
      <c r="M40" s="4" t="str">
        <f t="shared" ref="M40" si="13">IF(C40=H40, "OK","NG")</f>
        <v>OK</v>
      </c>
      <c r="N40" s="4" t="str">
        <f t="shared" ref="N40" si="14">IF(D40=I40, "OK","NG")</f>
        <v>OK</v>
      </c>
      <c r="O40" s="4" t="str">
        <f t="shared" ref="O40" si="15">IF(E40=J40, "OK","NG")</f>
        <v>OK</v>
      </c>
    </row>
    <row r="41" spans="2:15" ht="15.75" thickBot="1">
      <c r="B41" s="3"/>
      <c r="C41" s="1"/>
      <c r="D41" s="1"/>
      <c r="E41" s="2"/>
      <c r="G41" s="3">
        <v>44221</v>
      </c>
      <c r="H41" s="1" t="s">
        <v>2</v>
      </c>
      <c r="I41" s="1" t="s">
        <v>7</v>
      </c>
      <c r="J41" s="2" t="s">
        <v>32</v>
      </c>
      <c r="L41" s="4"/>
      <c r="M41" s="4"/>
      <c r="N41" s="4"/>
      <c r="O41" s="4"/>
    </row>
    <row r="42" spans="2:15" ht="15.75" thickBot="1">
      <c r="G42" s="3">
        <v>44222</v>
      </c>
      <c r="H42" s="1" t="s">
        <v>4</v>
      </c>
      <c r="I42" s="1" t="s">
        <v>11</v>
      </c>
      <c r="J42" s="2" t="s">
        <v>19</v>
      </c>
      <c r="L42" s="4"/>
      <c r="M42" s="4"/>
      <c r="N42" s="4"/>
      <c r="O42" s="4"/>
    </row>
    <row r="43" spans="2:15" ht="15.75" thickBot="1">
      <c r="B43" s="3"/>
      <c r="C43" s="1"/>
      <c r="D43" s="1"/>
      <c r="E43" s="2"/>
      <c r="G43" s="3"/>
      <c r="H43" s="1"/>
      <c r="I43" s="1"/>
      <c r="J43" s="2"/>
      <c r="L43" s="4"/>
      <c r="M43" s="4"/>
      <c r="N43" s="4"/>
      <c r="O43" s="4"/>
    </row>
    <row r="44" spans="2:15" ht="15.75" thickBot="1">
      <c r="B44" s="3"/>
      <c r="C44" s="1"/>
      <c r="D44" s="1"/>
      <c r="E44" s="2"/>
      <c r="G44" s="3"/>
      <c r="H44" s="1"/>
      <c r="I44" s="1"/>
      <c r="J44" s="2"/>
      <c r="L44" s="4"/>
      <c r="M44" s="4"/>
      <c r="N44" s="4"/>
      <c r="O44" s="4"/>
    </row>
    <row r="45" spans="2:15" ht="15.75" thickBot="1">
      <c r="G45" s="16"/>
      <c r="H45" s="1"/>
      <c r="I45" s="1"/>
      <c r="J45" s="2"/>
      <c r="L45" s="4"/>
      <c r="M45" s="4"/>
      <c r="N45" s="4"/>
      <c r="O45" s="4"/>
    </row>
    <row r="46" spans="2:15" ht="15.75" thickBot="1">
      <c r="G46" s="16"/>
      <c r="H46" s="1"/>
      <c r="I46" s="1"/>
      <c r="J46" s="2"/>
      <c r="L46" s="4"/>
      <c r="M46" s="4"/>
      <c r="N46" s="4"/>
      <c r="O46" s="4"/>
    </row>
    <row r="47" spans="2:15" ht="15.75" thickBot="1">
      <c r="B47" s="3"/>
      <c r="C47" s="1"/>
      <c r="D47" s="1"/>
      <c r="E47" s="2"/>
      <c r="G47" s="3"/>
      <c r="H47" s="1"/>
      <c r="I47" s="1"/>
      <c r="J47" s="2"/>
    </row>
    <row r="48" spans="2:15" ht="15.75" thickBot="1">
      <c r="G48" s="3"/>
      <c r="H48" s="1"/>
      <c r="I48" s="1"/>
      <c r="J48" s="2"/>
    </row>
  </sheetData>
  <mergeCells count="6">
    <mergeCell ref="B1:E1"/>
    <mergeCell ref="G1:J1"/>
    <mergeCell ref="L1:O1"/>
    <mergeCell ref="B2:D2"/>
    <mergeCell ref="G2:I2"/>
    <mergeCell ref="L2:N2"/>
  </mergeCells>
  <conditionalFormatting sqref="L3:O46">
    <cfRule type="cellIs" dxfId="1" priority="1" operator="equal">
      <formula>"NG"</formula>
    </cfRule>
    <cfRule type="cellIs" dxfId="0" priority="2" operator="equal">
      <formula>"OK"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K59"/>
  <sheetViews>
    <sheetView tabSelected="1" topLeftCell="A25" workbookViewId="0">
      <selection activeCell="A49" sqref="A49:XFD49"/>
    </sheetView>
  </sheetViews>
  <sheetFormatPr defaultRowHeight="15"/>
  <cols>
    <col min="2" max="2" width="12" bestFit="1" customWidth="1"/>
    <col min="3" max="3" width="5.7109375" bestFit="1" customWidth="1"/>
    <col min="4" max="4" width="14.5703125" bestFit="1" customWidth="1"/>
    <col min="5" max="5" width="51.28515625" customWidth="1"/>
    <col min="6" max="6" width="3.28515625" customWidth="1"/>
    <col min="7" max="7" width="4.140625" customWidth="1"/>
    <col min="8" max="8" width="13.42578125" customWidth="1"/>
    <col min="10" max="10" width="15.28515625" customWidth="1"/>
    <col min="11" max="11" width="27.28515625" customWidth="1"/>
  </cols>
  <sheetData>
    <row r="2" spans="2:11" ht="15.75" thickBot="1">
      <c r="B2" s="45" t="s">
        <v>56</v>
      </c>
      <c r="C2" s="45"/>
      <c r="D2" s="45"/>
      <c r="E2" s="45"/>
      <c r="H2" s="45" t="s">
        <v>62</v>
      </c>
      <c r="I2" s="45"/>
      <c r="J2" s="45"/>
      <c r="K2" s="45"/>
    </row>
    <row r="3" spans="2:11" ht="15" customHeight="1">
      <c r="B3" s="46" t="s">
        <v>0</v>
      </c>
      <c r="C3" s="47"/>
      <c r="D3" s="48"/>
      <c r="E3" s="52" t="s">
        <v>1</v>
      </c>
      <c r="H3" s="46" t="s">
        <v>0</v>
      </c>
      <c r="I3" s="47"/>
      <c r="J3" s="48"/>
      <c r="K3" s="52" t="s">
        <v>1</v>
      </c>
    </row>
    <row r="4" spans="2:11" ht="15.75" thickBot="1">
      <c r="B4" s="49"/>
      <c r="C4" s="50"/>
      <c r="D4" s="51"/>
      <c r="E4" s="53"/>
      <c r="H4" s="54"/>
      <c r="I4" s="55"/>
      <c r="J4" s="56"/>
      <c r="K4" s="57"/>
    </row>
    <row r="5" spans="2:11" ht="15.75" thickBot="1">
      <c r="B5" s="18">
        <v>44125</v>
      </c>
      <c r="C5" s="1" t="s">
        <v>4</v>
      </c>
      <c r="D5" s="1" t="s">
        <v>14</v>
      </c>
      <c r="E5" s="2" t="s">
        <v>53</v>
      </c>
      <c r="H5" s="16"/>
      <c r="I5" s="14"/>
      <c r="J5" s="14"/>
      <c r="K5" s="15"/>
    </row>
    <row r="6" spans="2:11" ht="15.75" thickBot="1">
      <c r="B6" s="18">
        <v>44126</v>
      </c>
      <c r="C6" s="1" t="s">
        <v>4</v>
      </c>
      <c r="D6" s="1" t="s">
        <v>10</v>
      </c>
      <c r="E6" s="2" t="s">
        <v>35</v>
      </c>
      <c r="H6" s="16"/>
      <c r="I6" s="10"/>
      <c r="J6" s="10"/>
      <c r="K6" s="11"/>
    </row>
    <row r="7" spans="2:11" ht="15.75" thickBot="1">
      <c r="B7" s="18">
        <v>44131</v>
      </c>
      <c r="C7" s="1" t="s">
        <v>4</v>
      </c>
      <c r="D7" s="1" t="s">
        <v>6</v>
      </c>
      <c r="E7" s="2" t="s">
        <v>28</v>
      </c>
      <c r="H7" s="24"/>
      <c r="I7" s="25"/>
      <c r="J7" s="25"/>
      <c r="K7" s="26"/>
    </row>
    <row r="8" spans="2:11" ht="15.75" thickBot="1">
      <c r="B8" s="18">
        <v>44133</v>
      </c>
      <c r="C8" s="1" t="s">
        <v>4</v>
      </c>
      <c r="D8" s="1" t="s">
        <v>14</v>
      </c>
      <c r="E8" s="2" t="s">
        <v>15</v>
      </c>
      <c r="H8" s="18"/>
      <c r="I8" s="1"/>
      <c r="J8" s="1"/>
      <c r="K8" s="2"/>
    </row>
    <row r="9" spans="2:11" ht="15.75" thickBot="1">
      <c r="B9" s="28">
        <v>44133</v>
      </c>
      <c r="C9" s="29" t="s">
        <v>4</v>
      </c>
      <c r="D9" s="29" t="s">
        <v>14</v>
      </c>
      <c r="E9" s="30" t="s">
        <v>48</v>
      </c>
      <c r="F9" s="40"/>
      <c r="G9" s="40"/>
      <c r="H9" s="18"/>
      <c r="I9" s="1"/>
      <c r="J9" s="1"/>
      <c r="K9" s="2"/>
    </row>
    <row r="10" spans="2:11" ht="15.75" thickBot="1">
      <c r="B10" s="18">
        <v>44133</v>
      </c>
      <c r="C10" s="1" t="s">
        <v>4</v>
      </c>
      <c r="D10" s="1" t="s">
        <v>11</v>
      </c>
      <c r="E10" s="2" t="s">
        <v>43</v>
      </c>
      <c r="H10" s="18"/>
      <c r="I10" s="1"/>
      <c r="J10" s="1"/>
      <c r="K10" s="2"/>
    </row>
    <row r="11" spans="2:11" ht="15.75" thickBot="1">
      <c r="B11" s="28">
        <v>44141</v>
      </c>
      <c r="C11" s="29" t="s">
        <v>4</v>
      </c>
      <c r="D11" s="29" t="s">
        <v>14</v>
      </c>
      <c r="E11" s="30" t="s">
        <v>19</v>
      </c>
      <c r="F11" s="40"/>
      <c r="G11" s="40"/>
      <c r="H11" s="18"/>
      <c r="I11" s="1"/>
      <c r="J11" s="1"/>
      <c r="K11" s="2"/>
    </row>
    <row r="12" spans="2:11" ht="15.75" thickBot="1">
      <c r="B12" s="3">
        <v>44145</v>
      </c>
      <c r="C12" s="1" t="s">
        <v>4</v>
      </c>
      <c r="D12" s="1" t="s">
        <v>10</v>
      </c>
      <c r="E12" s="2" t="s">
        <v>54</v>
      </c>
      <c r="H12" s="18"/>
      <c r="I12" s="1"/>
      <c r="J12" s="1"/>
      <c r="K12" s="2"/>
    </row>
    <row r="13" spans="2:11" ht="15.75" thickBot="1">
      <c r="B13" s="3">
        <v>44147</v>
      </c>
      <c r="C13" s="1" t="s">
        <v>4</v>
      </c>
      <c r="D13" s="1" t="s">
        <v>46</v>
      </c>
      <c r="E13" s="2" t="s">
        <v>49</v>
      </c>
      <c r="H13" s="18"/>
      <c r="I13" s="1"/>
      <c r="J13" s="1"/>
      <c r="K13" s="2"/>
    </row>
    <row r="14" spans="2:11" ht="15.75" thickBot="1">
      <c r="B14" s="3">
        <v>44147</v>
      </c>
      <c r="C14" s="1" t="s">
        <v>4</v>
      </c>
      <c r="D14" s="1" t="s">
        <v>6</v>
      </c>
      <c r="E14" s="2" t="s">
        <v>34</v>
      </c>
      <c r="H14" s="3"/>
      <c r="I14" s="1"/>
      <c r="J14" s="1"/>
      <c r="K14" s="2"/>
    </row>
    <row r="15" spans="2:11" ht="15.75" thickBot="1">
      <c r="B15" s="3">
        <v>44148</v>
      </c>
      <c r="C15" s="1" t="s">
        <v>4</v>
      </c>
      <c r="D15" s="1" t="s">
        <v>5</v>
      </c>
      <c r="E15" s="2" t="s">
        <v>16</v>
      </c>
      <c r="H15" s="3"/>
      <c r="I15" s="1"/>
      <c r="J15" s="1"/>
      <c r="K15" s="2"/>
    </row>
    <row r="16" spans="2:11" ht="15.75" thickBot="1">
      <c r="B16" s="3">
        <v>44151</v>
      </c>
      <c r="C16" s="1" t="s">
        <v>4</v>
      </c>
      <c r="D16" s="1" t="s">
        <v>11</v>
      </c>
      <c r="E16" s="2" t="s">
        <v>33</v>
      </c>
      <c r="H16" s="3"/>
      <c r="I16" s="1"/>
      <c r="J16" s="1"/>
      <c r="K16" s="2"/>
    </row>
    <row r="17" spans="2:11" ht="15.75" thickBot="1">
      <c r="B17" s="28">
        <v>44158</v>
      </c>
      <c r="C17" s="29" t="s">
        <v>4</v>
      </c>
      <c r="D17" s="29" t="s">
        <v>11</v>
      </c>
      <c r="E17" s="30" t="s">
        <v>15</v>
      </c>
      <c r="F17" s="40"/>
      <c r="G17" s="40"/>
      <c r="H17" s="3"/>
      <c r="I17" s="1"/>
      <c r="J17" s="1"/>
      <c r="K17" s="2"/>
    </row>
    <row r="18" spans="2:11" ht="15.75" thickBot="1">
      <c r="B18" s="3">
        <v>44158</v>
      </c>
      <c r="C18" s="1" t="s">
        <v>4</v>
      </c>
      <c r="D18" s="1" t="s">
        <v>14</v>
      </c>
      <c r="E18" s="2" t="s">
        <v>18</v>
      </c>
      <c r="H18" s="3"/>
      <c r="I18" s="1"/>
      <c r="J18" s="1"/>
      <c r="K18" s="2"/>
    </row>
    <row r="19" spans="2:11" ht="15.75" thickBot="1">
      <c r="B19" s="3">
        <v>44165</v>
      </c>
      <c r="C19" s="1" t="s">
        <v>4</v>
      </c>
      <c r="D19" s="1" t="s">
        <v>5</v>
      </c>
      <c r="E19" s="2" t="s">
        <v>35</v>
      </c>
      <c r="F19" s="40"/>
      <c r="G19" s="40"/>
      <c r="H19" s="3"/>
      <c r="I19" s="1"/>
      <c r="J19" s="1"/>
      <c r="K19" s="2"/>
    </row>
    <row r="20" spans="2:11" ht="15.75" thickBot="1">
      <c r="B20" s="3">
        <v>44169</v>
      </c>
      <c r="C20" s="1" t="s">
        <v>4</v>
      </c>
      <c r="D20" s="1" t="s">
        <v>46</v>
      </c>
      <c r="E20" s="2" t="s">
        <v>9</v>
      </c>
      <c r="H20" s="3"/>
      <c r="I20" s="1"/>
      <c r="J20" s="1"/>
      <c r="K20" s="2"/>
    </row>
    <row r="21" spans="2:11" ht="15.75" thickBot="1">
      <c r="B21" s="3">
        <v>44172</v>
      </c>
      <c r="C21" s="1" t="s">
        <v>4</v>
      </c>
      <c r="D21" s="1" t="s">
        <v>8</v>
      </c>
      <c r="E21" s="2" t="s">
        <v>40</v>
      </c>
      <c r="H21" s="3"/>
      <c r="I21" s="1"/>
      <c r="J21" s="1"/>
      <c r="K21" s="2"/>
    </row>
    <row r="22" spans="2:11" ht="15.75" thickBot="1">
      <c r="B22" s="3">
        <v>44172</v>
      </c>
      <c r="C22" s="1" t="s">
        <v>4</v>
      </c>
      <c r="D22" s="1" t="s">
        <v>41</v>
      </c>
      <c r="E22" s="2" t="s">
        <v>29</v>
      </c>
      <c r="H22" s="3"/>
      <c r="I22" s="1"/>
      <c r="J22" s="1"/>
      <c r="K22" s="2"/>
    </row>
    <row r="23" spans="2:11" ht="15.75" thickBot="1">
      <c r="B23" s="28">
        <v>44173</v>
      </c>
      <c r="C23" s="29" t="s">
        <v>4</v>
      </c>
      <c r="D23" s="29" t="s">
        <v>10</v>
      </c>
      <c r="E23" s="30" t="s">
        <v>42</v>
      </c>
      <c r="F23" s="40"/>
      <c r="G23" s="40"/>
      <c r="H23" s="13"/>
      <c r="I23" s="14"/>
      <c r="J23" s="14"/>
      <c r="K23" s="15"/>
    </row>
    <row r="24" spans="2:11" ht="15.75" thickBot="1">
      <c r="B24" s="3">
        <v>44179</v>
      </c>
      <c r="C24" s="1" t="s">
        <v>4</v>
      </c>
      <c r="D24" s="1" t="s">
        <v>5</v>
      </c>
      <c r="E24" s="2" t="s">
        <v>54</v>
      </c>
      <c r="H24" s="12"/>
      <c r="I24" s="10"/>
      <c r="J24" s="10"/>
      <c r="K24" s="11"/>
    </row>
    <row r="25" spans="2:11" ht="15.75" thickBot="1">
      <c r="B25" s="28">
        <v>44186</v>
      </c>
      <c r="C25" s="29" t="s">
        <v>4</v>
      </c>
      <c r="D25" s="29" t="s">
        <v>10</v>
      </c>
      <c r="E25" s="30" t="s">
        <v>40</v>
      </c>
      <c r="F25" s="40"/>
      <c r="G25" s="40"/>
      <c r="H25" s="3"/>
      <c r="I25" s="1"/>
      <c r="J25" s="1"/>
      <c r="K25" s="2"/>
    </row>
    <row r="26" spans="2:11" ht="15.75" thickBot="1">
      <c r="B26" s="13">
        <v>44207</v>
      </c>
      <c r="C26" s="14" t="s">
        <v>4</v>
      </c>
      <c r="D26" s="14" t="s">
        <v>14</v>
      </c>
      <c r="E26" s="15" t="s">
        <v>50</v>
      </c>
      <c r="H26" s="3"/>
      <c r="I26" s="1"/>
      <c r="J26" s="1"/>
      <c r="K26" s="2"/>
    </row>
    <row r="27" spans="2:11" ht="15.75" thickBot="1">
      <c r="B27" s="12">
        <v>44207</v>
      </c>
      <c r="C27" s="10" t="s">
        <v>4</v>
      </c>
      <c r="D27" s="10" t="s">
        <v>5</v>
      </c>
      <c r="E27" s="11" t="s">
        <v>52</v>
      </c>
      <c r="H27" s="3"/>
      <c r="I27" s="1"/>
      <c r="J27" s="1"/>
      <c r="K27" s="2"/>
    </row>
    <row r="28" spans="2:11" ht="15.75" thickBot="1">
      <c r="B28" s="3">
        <v>44215</v>
      </c>
      <c r="C28" s="1" t="s">
        <v>4</v>
      </c>
      <c r="D28" s="1" t="s">
        <v>11</v>
      </c>
      <c r="E28" s="2" t="s">
        <v>48</v>
      </c>
      <c r="H28" s="3"/>
      <c r="I28" s="1"/>
      <c r="J28" s="1"/>
      <c r="K28" s="2"/>
    </row>
    <row r="29" spans="2:11" ht="15.75" thickBot="1">
      <c r="B29" s="3">
        <v>44215</v>
      </c>
      <c r="C29" s="1" t="s">
        <v>4</v>
      </c>
      <c r="D29" s="1" t="s">
        <v>5</v>
      </c>
      <c r="E29" s="2" t="s">
        <v>42</v>
      </c>
      <c r="H29" s="3"/>
      <c r="I29" s="1"/>
      <c r="J29" s="1"/>
      <c r="K29" s="2"/>
    </row>
    <row r="30" spans="2:11" ht="15.75" thickBot="1">
      <c r="B30" s="3">
        <v>44221</v>
      </c>
      <c r="C30" s="1" t="s">
        <v>4</v>
      </c>
      <c r="D30" s="1" t="s">
        <v>14</v>
      </c>
      <c r="E30" s="2" t="s">
        <v>55</v>
      </c>
      <c r="H30" s="3"/>
      <c r="I30" s="1"/>
      <c r="J30" s="1"/>
      <c r="K30" s="2"/>
    </row>
    <row r="31" spans="2:11" ht="15.75" thickBot="1">
      <c r="B31" s="39" t="s">
        <v>38</v>
      </c>
      <c r="C31" s="29" t="s">
        <v>4</v>
      </c>
      <c r="D31" s="29" t="s">
        <v>10</v>
      </c>
      <c r="E31" s="30" t="s">
        <v>52</v>
      </c>
      <c r="F31" s="40"/>
      <c r="G31" s="40"/>
      <c r="H31" s="3"/>
      <c r="I31" s="1"/>
      <c r="J31" s="1"/>
      <c r="K31" s="2"/>
    </row>
    <row r="32" spans="2:11" ht="15.75" thickBot="1">
      <c r="B32" s="16" t="s">
        <v>38</v>
      </c>
      <c r="C32" s="1" t="s">
        <v>4</v>
      </c>
      <c r="D32" s="1" t="s">
        <v>6</v>
      </c>
      <c r="E32" s="2" t="s">
        <v>27</v>
      </c>
      <c r="H32" s="3"/>
      <c r="I32" s="1"/>
      <c r="J32" s="1"/>
      <c r="K32" s="2"/>
    </row>
    <row r="33" spans="2:11" ht="15.75" thickBot="1">
      <c r="B33" s="3">
        <v>44140</v>
      </c>
      <c r="C33" s="1" t="s">
        <v>2</v>
      </c>
      <c r="D33" s="1" t="s">
        <v>17</v>
      </c>
      <c r="E33" s="2" t="s">
        <v>30</v>
      </c>
      <c r="H33" s="3"/>
      <c r="I33" s="1"/>
      <c r="J33" s="1"/>
      <c r="K33" s="2"/>
    </row>
    <row r="34" spans="2:11" ht="15.75" thickBot="1">
      <c r="B34" s="3">
        <v>44140</v>
      </c>
      <c r="C34" s="1" t="s">
        <v>2</v>
      </c>
      <c r="D34" s="1" t="s">
        <v>17</v>
      </c>
      <c r="E34" s="2" t="s">
        <v>31</v>
      </c>
      <c r="H34" s="13"/>
      <c r="I34" s="14"/>
      <c r="J34" s="14"/>
      <c r="K34" s="2"/>
    </row>
    <row r="35" spans="2:11" ht="15.75" thickBot="1">
      <c r="B35" s="3">
        <v>44148</v>
      </c>
      <c r="C35" s="1" t="s">
        <v>2</v>
      </c>
      <c r="D35" s="1" t="s">
        <v>21</v>
      </c>
      <c r="E35" s="2" t="s">
        <v>36</v>
      </c>
      <c r="H35" s="12"/>
      <c r="I35" s="10"/>
      <c r="J35" s="10"/>
      <c r="K35" s="2"/>
    </row>
    <row r="36" spans="2:11" ht="15.75" thickBot="1">
      <c r="B36" s="13">
        <v>44166</v>
      </c>
      <c r="C36" s="14" t="s">
        <v>2</v>
      </c>
      <c r="D36" s="14" t="s">
        <v>17</v>
      </c>
      <c r="E36" s="2" t="s">
        <v>25</v>
      </c>
      <c r="H36" s="3"/>
      <c r="I36" s="1"/>
      <c r="J36" s="1"/>
      <c r="K36" s="2"/>
    </row>
    <row r="37" spans="2:11" ht="15.75" thickBot="1">
      <c r="B37" s="22">
        <v>44166</v>
      </c>
      <c r="C37" s="23" t="s">
        <v>2</v>
      </c>
      <c r="D37" s="23" t="s">
        <v>17</v>
      </c>
      <c r="E37" s="15" t="s">
        <v>26</v>
      </c>
      <c r="H37" s="3"/>
      <c r="I37" s="1"/>
      <c r="J37" s="1"/>
      <c r="K37" s="2"/>
    </row>
    <row r="38" spans="2:11" ht="15.75" thickBot="1">
      <c r="B38" s="12">
        <v>44166</v>
      </c>
      <c r="C38" s="10" t="s">
        <v>2</v>
      </c>
      <c r="D38" s="10" t="s">
        <v>7</v>
      </c>
      <c r="E38" s="11" t="s">
        <v>24</v>
      </c>
      <c r="H38" s="3"/>
      <c r="I38" s="1"/>
      <c r="J38" s="1"/>
      <c r="K38" s="2"/>
    </row>
    <row r="39" spans="2:11" ht="15.75" thickBot="1">
      <c r="B39" s="28">
        <v>44168</v>
      </c>
      <c r="C39" s="29" t="s">
        <v>2</v>
      </c>
      <c r="D39" s="29" t="s">
        <v>20</v>
      </c>
      <c r="E39" s="30" t="s">
        <v>37</v>
      </c>
      <c r="H39" s="3"/>
      <c r="I39" s="1"/>
      <c r="J39" s="1"/>
      <c r="K39" s="2"/>
    </row>
    <row r="40" spans="2:11" ht="15.75" thickBot="1">
      <c r="B40" s="28">
        <v>44172</v>
      </c>
      <c r="C40" s="29" t="s">
        <v>2</v>
      </c>
      <c r="D40" s="29" t="s">
        <v>23</v>
      </c>
      <c r="E40" s="30" t="s">
        <v>32</v>
      </c>
      <c r="H40" s="3"/>
      <c r="I40" s="1"/>
      <c r="J40" s="1"/>
      <c r="K40" s="2"/>
    </row>
    <row r="41" spans="2:11" ht="15.75" thickBot="1">
      <c r="B41" s="28">
        <v>44211</v>
      </c>
      <c r="C41" s="29" t="s">
        <v>2</v>
      </c>
      <c r="D41" s="29" t="s">
        <v>21</v>
      </c>
      <c r="E41" s="30" t="s">
        <v>25</v>
      </c>
      <c r="H41" s="3"/>
      <c r="I41" s="1"/>
      <c r="J41" s="1"/>
      <c r="K41" s="2"/>
    </row>
    <row r="42" spans="2:11" ht="15.75" thickBot="1">
      <c r="B42" s="28">
        <v>44211</v>
      </c>
      <c r="C42" s="29" t="s">
        <v>2</v>
      </c>
      <c r="D42" s="29" t="s">
        <v>21</v>
      </c>
      <c r="E42" s="30" t="s">
        <v>26</v>
      </c>
      <c r="H42" s="3"/>
      <c r="I42" s="1"/>
      <c r="J42" s="1"/>
      <c r="K42" s="2"/>
    </row>
    <row r="43" spans="2:11" ht="15.75" thickBot="1">
      <c r="B43" s="28">
        <v>44216</v>
      </c>
      <c r="C43" s="29" t="s">
        <v>2</v>
      </c>
      <c r="D43" s="29" t="s">
        <v>3</v>
      </c>
      <c r="E43" s="30" t="s">
        <v>51</v>
      </c>
      <c r="H43" s="3"/>
      <c r="I43" s="1"/>
      <c r="J43" s="1"/>
      <c r="K43" s="2"/>
    </row>
    <row r="44" spans="2:11" ht="15.75" thickBot="1">
      <c r="B44" s="28">
        <v>44221</v>
      </c>
      <c r="C44" s="29" t="s">
        <v>2</v>
      </c>
      <c r="D44" s="29" t="s">
        <v>23</v>
      </c>
      <c r="E44" s="30" t="s">
        <v>25</v>
      </c>
      <c r="F44" s="40"/>
      <c r="G44" s="40"/>
      <c r="H44" s="3"/>
      <c r="I44" s="1"/>
      <c r="J44" s="1"/>
      <c r="K44" s="2"/>
    </row>
    <row r="45" spans="2:11" ht="15.75" thickBot="1">
      <c r="B45" s="28">
        <v>44221</v>
      </c>
      <c r="C45" s="29" t="s">
        <v>2</v>
      </c>
      <c r="D45" s="29" t="s">
        <v>23</v>
      </c>
      <c r="E45" s="30" t="s">
        <v>26</v>
      </c>
      <c r="F45" s="40"/>
      <c r="G45" s="40"/>
      <c r="H45" s="3"/>
      <c r="I45" s="1"/>
      <c r="J45" s="1"/>
      <c r="K45" s="2"/>
    </row>
    <row r="46" spans="2:11" ht="15.75" thickBot="1">
      <c r="B46" s="28">
        <v>44221</v>
      </c>
      <c r="C46" s="29" t="s">
        <v>2</v>
      </c>
      <c r="D46" s="29" t="s">
        <v>7</v>
      </c>
      <c r="E46" s="30" t="s">
        <v>32</v>
      </c>
      <c r="F46" s="40"/>
      <c r="G46" s="40"/>
      <c r="H46" s="3"/>
      <c r="I46" s="1"/>
      <c r="J46" s="1"/>
      <c r="K46" s="2"/>
    </row>
    <row r="47" spans="2:11" ht="15.75" thickBot="1">
      <c r="B47" s="39" t="s">
        <v>38</v>
      </c>
      <c r="C47" s="29" t="s">
        <v>2</v>
      </c>
      <c r="D47" s="29" t="s">
        <v>20</v>
      </c>
      <c r="E47" s="30" t="s">
        <v>12</v>
      </c>
      <c r="F47" s="40"/>
      <c r="G47" s="40"/>
      <c r="H47" s="16"/>
      <c r="I47" s="1"/>
      <c r="J47" s="1"/>
      <c r="K47" s="2"/>
    </row>
    <row r="48" spans="2:11" ht="15.75" thickBot="1">
      <c r="B48" s="39" t="s">
        <v>38</v>
      </c>
      <c r="C48" s="29" t="s">
        <v>2</v>
      </c>
      <c r="D48" s="29" t="s">
        <v>20</v>
      </c>
      <c r="E48" s="30" t="s">
        <v>13</v>
      </c>
      <c r="F48" s="40"/>
      <c r="G48" s="40"/>
      <c r="H48" s="16"/>
      <c r="I48" s="1"/>
      <c r="J48" s="1"/>
      <c r="K48" s="2"/>
    </row>
    <row r="49" spans="2:11" ht="15.75" thickBot="1">
      <c r="B49" s="3"/>
      <c r="C49" s="1"/>
      <c r="D49" s="1"/>
      <c r="E49" s="2"/>
      <c r="H49" s="16" t="s">
        <v>38</v>
      </c>
      <c r="I49" s="14" t="s">
        <v>2</v>
      </c>
      <c r="J49" s="14" t="s">
        <v>3</v>
      </c>
      <c r="K49" s="15" t="s">
        <v>60</v>
      </c>
    </row>
    <row r="50" spans="2:11" ht="15.75" thickBot="1">
      <c r="B50" s="12"/>
      <c r="C50" s="10"/>
      <c r="D50" s="10"/>
      <c r="E50" s="11"/>
      <c r="H50" s="3"/>
      <c r="I50" s="1"/>
      <c r="J50" s="1"/>
      <c r="K50" s="2"/>
    </row>
    <row r="51" spans="2:11" ht="15.75" thickBot="1">
      <c r="B51" s="3"/>
      <c r="C51" s="1"/>
      <c r="D51" s="1"/>
      <c r="E51" s="2"/>
      <c r="H51" s="43"/>
      <c r="I51" s="41"/>
      <c r="J51" s="41"/>
      <c r="K51" s="42"/>
    </row>
    <row r="52" spans="2:11">
      <c r="B52" s="33"/>
      <c r="C52" s="34"/>
      <c r="D52" s="34"/>
      <c r="E52" s="35"/>
      <c r="F52" s="17"/>
    </row>
    <row r="53" spans="2:11">
      <c r="B53" s="33"/>
      <c r="C53" s="34"/>
      <c r="D53" s="34"/>
      <c r="E53" s="35"/>
      <c r="F53" s="17"/>
      <c r="G53" s="17"/>
    </row>
    <row r="54" spans="2:11">
      <c r="B54" s="33"/>
      <c r="C54" s="34"/>
      <c r="D54" s="34"/>
      <c r="E54" s="35"/>
      <c r="F54" s="17"/>
      <c r="G54" s="17"/>
    </row>
    <row r="55" spans="2:11">
      <c r="B55" s="33"/>
      <c r="C55" s="34"/>
      <c r="D55" s="34"/>
      <c r="E55" s="35"/>
      <c r="F55" s="17"/>
      <c r="G55" s="17"/>
    </row>
    <row r="56" spans="2:11">
      <c r="B56" s="34"/>
      <c r="C56" s="34"/>
      <c r="D56" s="34"/>
      <c r="E56" s="35"/>
      <c r="F56" s="17"/>
      <c r="G56" s="17"/>
    </row>
    <row r="57" spans="2:11">
      <c r="B57" s="34"/>
      <c r="C57" s="34"/>
      <c r="D57" s="34"/>
      <c r="E57" s="35"/>
      <c r="F57" s="17"/>
      <c r="G57" s="17"/>
    </row>
    <row r="58" spans="2:11">
      <c r="B58" s="33"/>
      <c r="C58" s="34"/>
      <c r="D58" s="34"/>
      <c r="E58" s="35"/>
      <c r="F58" s="17"/>
      <c r="G58" s="17"/>
    </row>
    <row r="59" spans="2:11">
      <c r="B59" s="33"/>
      <c r="C59" s="34"/>
      <c r="D59" s="34"/>
      <c r="E59" s="35"/>
      <c r="F59" s="17"/>
      <c r="G59" s="17"/>
    </row>
  </sheetData>
  <mergeCells count="6">
    <mergeCell ref="B2:E2"/>
    <mergeCell ref="H2:K2"/>
    <mergeCell ref="B3:D4"/>
    <mergeCell ref="E3:E4"/>
    <mergeCell ref="H3:J4"/>
    <mergeCell ref="K3:K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確認結果</vt:lpstr>
      <vt:lpstr>2020.10.21</vt:lpstr>
      <vt:lpstr>2020.10.28</vt:lpstr>
      <vt:lpstr>Sheet1</vt:lpstr>
    </vt:vector>
  </TitlesOfParts>
  <Company>ALLIANCE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HOANG, VANCUONG</dc:creator>
  <cp:keywords>Alliance;A-I;Alliance Internal</cp:keywords>
  <cp:lastModifiedBy>VU, THIVAN</cp:lastModifiedBy>
  <dcterms:created xsi:type="dcterms:W3CDTF">2020-03-05T00:07:24Z</dcterms:created>
  <dcterms:modified xsi:type="dcterms:W3CDTF">2020-10-30T10:47:37Z</dcterms:modified>
  <cp:category>A-I</cp:category>
</cp:coreProperties>
</file>